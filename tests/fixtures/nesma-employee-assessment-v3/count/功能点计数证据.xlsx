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汇总" sheetId="1" state="visible" r:id="rId3"/>
    <sheet name="数据功能" sheetId="2" state="visible" r:id="rId4"/>
    <sheet name="事务功能" sheetId="3" state="visible" r:id="rId5"/>
    <sheet name="证据清单" sheetId="4" state="visible" r:id="rId6"/>
  </sheets>
  <definedNames>
    <definedName function="false" hidden="false" localSheetId="2" name="_xlnm.Print_Area" vbProcedure="false">事务功能!$A$1:$M$38</definedName>
    <definedName function="false" hidden="false" localSheetId="2" name="_xlnm.Print_Titles" vbProcedure="false">事务功能!$1:$1</definedName>
    <definedName function="false" hidden="false" localSheetId="1" name="_xlnm.Print_Area" vbProcedure="false">数据功能!$A$1:$L$14</definedName>
    <definedName function="false" hidden="false" localSheetId="1" name="_xlnm.Print_Titles" vbProcedure="false">数据功能!$1:$1</definedName>
    <definedName function="false" hidden="false" localSheetId="0" name="_xlnm.Print_Area" vbProcedure="false">汇总!$A$1:$D$23</definedName>
    <definedName function="false" hidden="false" localSheetId="0" name="_xlnm.Print_Titles" vbProcedure="false">汇总!$1:$1</definedName>
    <definedName function="false" hidden="false" localSheetId="3" name="_xlnm.Print_Area" vbProcedure="false">证据清单!$A$1:$I$28</definedName>
    <definedName function="false" hidden="false" localSheetId="3" name="_xlnm.Print_Titles" vbProcedure="false">证据清单!$1:$1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<sst xmlns="http://schemas.openxmlformats.org/spreadsheetml/2006/main" count="826" uniqueCount="500">
  <si>
    <t xml:space="preserve">项目</t>
  </si>
  <si>
    <t xml:space="preserve">值</t>
  </si>
  <si>
    <r>
      <rPr>
        <b val="true"/>
        <sz val="11"/>
        <color rgb="FFFFFFFF"/>
        <rFont val="Noto Sans CJK SC"/>
        <family val="2"/>
      </rPr>
      <t xml:space="preserve">说明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公式</t>
    </r>
  </si>
  <si>
    <t xml:space="preserve">证据编号</t>
  </si>
  <si>
    <t xml:space="preserve">系统</t>
  </si>
  <si>
    <t xml:space="preserve">员工年度考核</t>
  </si>
  <si>
    <t xml:space="preserve">本包计数对象。</t>
  </si>
  <si>
    <t xml:space="preserve">E-01,E-04</t>
  </si>
  <si>
    <t xml:space="preserve">产物版本</t>
  </si>
  <si>
    <r>
      <rPr>
        <sz val="11"/>
        <color theme="1"/>
        <rFont val="Noto Sans CJK SC"/>
        <family val="2"/>
      </rPr>
      <t xml:space="preserve">员工年度考核</t>
    </r>
    <r>
      <rPr>
        <sz val="11"/>
        <color theme="1"/>
        <rFont val="Calibri"/>
        <family val="2"/>
        <charset val="1"/>
      </rPr>
      <t xml:space="preserve">-v3-new-v2</t>
    </r>
  </si>
  <si>
    <r>
      <rPr>
        <sz val="11"/>
        <color theme="1"/>
        <rFont val="Noto Sans CJK SC"/>
        <family val="2"/>
      </rPr>
      <t xml:space="preserve">目录 </t>
    </r>
    <r>
      <rPr>
        <sz val="11"/>
        <color theme="1"/>
        <rFont val="Calibri"/>
        <family val="2"/>
        <charset val="1"/>
      </rPr>
      <t xml:space="preserve">doc/hx-assessment/NESMA</t>
    </r>
    <r>
      <rPr>
        <sz val="11"/>
        <color theme="1"/>
        <rFont val="Noto Sans CJK SC"/>
        <family val="2"/>
      </rPr>
      <t xml:space="preserve">估算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员工年度考核</t>
    </r>
    <r>
      <rPr>
        <sz val="11"/>
        <color theme="1"/>
        <rFont val="Calibri"/>
        <family val="2"/>
        <charset val="1"/>
      </rPr>
      <t xml:space="preserve">-v3-new-v2</t>
    </r>
    <r>
      <rPr>
        <sz val="11"/>
        <color theme="1"/>
        <rFont val="Noto Sans CJK SC"/>
        <family val="2"/>
      </rPr>
      <t xml:space="preserve">。</t>
    </r>
  </si>
  <si>
    <t xml:space="preserve">E-01,E-02,E-03</t>
  </si>
  <si>
    <t xml:space="preserve">后端基线</t>
  </si>
  <si>
    <t xml:space="preserve">c761f4f529a80e2972436292f1aef35828fcf5a9</t>
  </si>
  <si>
    <r>
      <rPr>
        <sz val="11"/>
        <color theme="1"/>
        <rFont val="Noto Sans CJK SC"/>
        <family val="2"/>
      </rPr>
      <t xml:space="preserve">共享 </t>
    </r>
    <r>
      <rPr>
        <sz val="11"/>
        <color theme="1"/>
        <rFont val="Calibri"/>
        <family val="2"/>
        <charset val="1"/>
      </rPr>
      <t xml:space="preserve">tag phase/</t>
    </r>
    <r>
      <rPr>
        <sz val="11"/>
        <color theme="1"/>
        <rFont val="Noto Sans CJK SC"/>
        <family val="2"/>
      </rPr>
      <t xml:space="preserve">员工考核</t>
    </r>
    <r>
      <rPr>
        <sz val="11"/>
        <color theme="1"/>
        <rFont val="Calibri"/>
        <family val="2"/>
        <charset val="1"/>
      </rPr>
      <t xml:space="preserve">-v3</t>
    </r>
    <r>
      <rPr>
        <sz val="11"/>
        <color theme="1"/>
        <rFont val="Noto Sans CJK SC"/>
        <family val="2"/>
      </rPr>
      <t xml:space="preserve">；固定提交只读核验。</t>
    </r>
  </si>
  <si>
    <t xml:space="preserve">E-02</t>
  </si>
  <si>
    <t xml:space="preserve">前端基线</t>
  </si>
  <si>
    <t xml:space="preserve">bbdb9f02580432a4fd9225e92e5351cf3ada3610</t>
  </si>
  <si>
    <r>
      <rPr>
        <sz val="11"/>
        <color theme="1"/>
        <rFont val="Calibri"/>
        <family val="2"/>
        <charset val="1"/>
      </rPr>
      <t xml:space="preserve">main</t>
    </r>
    <r>
      <rPr>
        <sz val="11"/>
        <color theme="1"/>
        <rFont val="Noto Sans CJK SC"/>
        <family val="2"/>
      </rPr>
      <t xml:space="preserve">；未跟踪 </t>
    </r>
    <r>
      <rPr>
        <sz val="11"/>
        <color theme="1"/>
        <rFont val="Calibri"/>
        <family val="2"/>
        <charset val="1"/>
      </rPr>
      <t xml:space="preserve">dist.zip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distea/ </t>
    </r>
    <r>
      <rPr>
        <sz val="11"/>
        <color theme="1"/>
        <rFont val="Noto Sans CJK SC"/>
        <family val="2"/>
      </rPr>
      <t xml:space="preserve">不作为证据。</t>
    </r>
  </si>
  <si>
    <t xml:space="preserve">E-03</t>
  </si>
  <si>
    <t xml:space="preserve">计数类型</t>
  </si>
  <si>
    <t xml:space="preserve">新项目</t>
  </si>
  <si>
    <r>
      <rPr>
        <sz val="11"/>
        <color theme="1"/>
        <rFont val="Noto Sans CJK SC"/>
        <family val="2"/>
      </rPr>
      <t xml:space="preserve">目标范围内全部用户功能按 </t>
    </r>
    <r>
      <rPr>
        <sz val="11"/>
        <color theme="1"/>
        <rFont val="Calibri"/>
        <family val="2"/>
        <charset val="1"/>
      </rPr>
      <t xml:space="preserve">ADD</t>
    </r>
    <r>
      <rPr>
        <sz val="11"/>
        <color theme="1"/>
        <rFont val="Noto Sans CJK SC"/>
        <family val="2"/>
      </rPr>
      <t xml:space="preserve">。</t>
    </r>
  </si>
  <si>
    <t xml:space="preserve">E-01,E-22</t>
  </si>
  <si>
    <t xml:space="preserve">计数方法</t>
  </si>
  <si>
    <r>
      <rPr>
        <sz val="11"/>
        <color theme="1"/>
        <rFont val="Calibri"/>
        <family val="2"/>
        <charset val="1"/>
      </rPr>
      <t xml:space="preserve">NESMA </t>
    </r>
    <r>
      <rPr>
        <sz val="11"/>
        <color theme="1"/>
        <rFont val="Noto Sans CJK SC"/>
        <family val="2"/>
      </rPr>
      <t xml:space="preserve">详细 </t>
    </r>
    <r>
      <rPr>
        <sz val="11"/>
        <color theme="1"/>
        <rFont val="Calibri"/>
        <family val="2"/>
        <charset val="1"/>
      </rPr>
      <t xml:space="preserve">FPA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</si>
  <si>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RET/DET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FTR </t>
    </r>
    <r>
      <rPr>
        <sz val="11"/>
        <color theme="1"/>
        <rFont val="Noto Sans CJK SC"/>
        <family val="2"/>
      </rPr>
      <t xml:space="preserve">和带侧 </t>
    </r>
    <r>
      <rPr>
        <sz val="11"/>
        <color theme="1"/>
        <rFont val="Calibri"/>
        <family val="2"/>
        <charset val="1"/>
      </rPr>
      <t xml:space="preserve">DET </t>
    </r>
    <r>
      <rPr>
        <sz val="11"/>
        <color theme="1"/>
        <rFont val="Noto Sans CJK SC"/>
        <family val="2"/>
      </rPr>
      <t xml:space="preserve">明细计算 </t>
    </r>
    <r>
      <rPr>
        <sz val="11"/>
        <color theme="1"/>
        <rFont val="Calibri"/>
        <family val="2"/>
        <charset val="1"/>
      </rPr>
      <t xml:space="preserve">UFP</t>
    </r>
    <r>
      <rPr>
        <sz val="11"/>
        <color theme="1"/>
        <rFont val="Noto Sans CJK SC"/>
        <family val="2"/>
      </rPr>
      <t xml:space="preserve">。</t>
    </r>
  </si>
  <si>
    <t xml:space="preserve">E-01</t>
  </si>
  <si>
    <t xml:space="preserve">功能用户</t>
  </si>
  <si>
    <t xml:space="preserve">考核管理员、实名员工、匿名评分人</t>
  </si>
  <si>
    <t xml:space="preserve">管理员填写本人登记表时按实名员工边界处理。</t>
  </si>
  <si>
    <t xml:space="preserve">E-01,E-04,E-17</t>
  </si>
  <si>
    <t xml:space="preserve">应用边界</t>
  </si>
  <si>
    <t xml:space="preserve">员工年度考核应用</t>
  </si>
  <si>
    <t xml:space="preserve">包含管理端、实名员工登记表端、匿名评分端；主系统维护人员、部门、实名登录和角色。</t>
  </si>
  <si>
    <t xml:space="preserve">E-01,E-04,E-16</t>
  </si>
  <si>
    <t xml:space="preserve">计数范围</t>
  </si>
  <si>
    <t xml:space="preserve">年度考核用户功能全集</t>
  </si>
  <si>
    <t xml:space="preserve">计划、模板、人员快照、主考核、分管、评分、汇总、等次、登记表。</t>
  </si>
  <si>
    <r>
      <rPr>
        <sz val="11"/>
        <color theme="1"/>
        <rFont val="Calibri"/>
        <family val="2"/>
        <charset val="1"/>
      </rPr>
      <t xml:space="preserve">ILF </t>
    </r>
    <r>
      <rPr>
        <sz val="11"/>
        <color theme="1"/>
        <rFont val="Noto Sans CJK SC"/>
        <family val="2"/>
      </rPr>
      <t xml:space="preserve">数</t>
    </r>
  </si>
  <si>
    <r>
      <rPr>
        <sz val="11"/>
        <color theme="1"/>
        <rFont val="Noto Sans CJK SC"/>
        <family val="2"/>
      </rPr>
      <t xml:space="preserve">公式：</t>
    </r>
    <r>
      <rPr>
        <sz val="11"/>
        <color theme="1"/>
        <rFont val="Calibri"/>
        <family val="2"/>
        <charset val="1"/>
      </rPr>
      <t xml:space="preserve">COUNTIF(</t>
    </r>
    <r>
      <rPr>
        <sz val="11"/>
        <color theme="1"/>
        <rFont val="Noto Sans CJK SC"/>
        <family val="2"/>
      </rPr>
      <t xml:space="preserve">数据功能</t>
    </r>
    <r>
      <rPr>
        <sz val="11"/>
        <color theme="1"/>
        <rFont val="Calibri"/>
        <family val="2"/>
        <charset val="1"/>
      </rPr>
      <t xml:space="preserve">!D:D,"ILF")</t>
    </r>
  </si>
  <si>
    <t xml:space="preserve">明细复算</t>
  </si>
  <si>
    <r>
      <rPr>
        <sz val="11"/>
        <color theme="1"/>
        <rFont val="Calibri"/>
        <family val="2"/>
        <charset val="1"/>
      </rPr>
      <t xml:space="preserve">ELF </t>
    </r>
    <r>
      <rPr>
        <sz val="11"/>
        <color theme="1"/>
        <rFont val="Noto Sans CJK SC"/>
        <family val="2"/>
      </rPr>
      <t xml:space="preserve">数</t>
    </r>
  </si>
  <si>
    <r>
      <rPr>
        <sz val="11"/>
        <color theme="1"/>
        <rFont val="Noto Sans CJK SC"/>
        <family val="2"/>
      </rPr>
      <t xml:space="preserve">公式：</t>
    </r>
    <r>
      <rPr>
        <sz val="11"/>
        <color theme="1"/>
        <rFont val="Calibri"/>
        <family val="2"/>
        <charset val="1"/>
      </rPr>
      <t xml:space="preserve">COUNTIF(</t>
    </r>
    <r>
      <rPr>
        <sz val="11"/>
        <color theme="1"/>
        <rFont val="Noto Sans CJK SC"/>
        <family val="2"/>
      </rPr>
      <t xml:space="preserve">数据功能</t>
    </r>
    <r>
      <rPr>
        <sz val="11"/>
        <color theme="1"/>
        <rFont val="Calibri"/>
        <family val="2"/>
        <charset val="1"/>
      </rPr>
      <t xml:space="preserve">!D:D,"ELF")</t>
    </r>
  </si>
  <si>
    <r>
      <rPr>
        <sz val="11"/>
        <color theme="1"/>
        <rFont val="Calibri"/>
        <family val="2"/>
        <charset val="1"/>
      </rPr>
      <t xml:space="preserve">EI </t>
    </r>
    <r>
      <rPr>
        <sz val="11"/>
        <color theme="1"/>
        <rFont val="Noto Sans CJK SC"/>
        <family val="2"/>
      </rPr>
      <t xml:space="preserve">数</t>
    </r>
  </si>
  <si>
    <r>
      <rPr>
        <sz val="11"/>
        <color theme="1"/>
        <rFont val="Noto Sans CJK SC"/>
        <family val="2"/>
      </rPr>
      <t xml:space="preserve">公式：</t>
    </r>
    <r>
      <rPr>
        <sz val="11"/>
        <color theme="1"/>
        <rFont val="Calibri"/>
        <family val="2"/>
        <charset val="1"/>
      </rPr>
      <t xml:space="preserve">COUNTIF(</t>
    </r>
    <r>
      <rPr>
        <sz val="11"/>
        <color theme="1"/>
        <rFont val="Noto Sans CJK SC"/>
        <family val="2"/>
      </rPr>
      <t xml:space="preserve">事务功能</t>
    </r>
    <r>
      <rPr>
        <sz val="11"/>
        <color theme="1"/>
        <rFont val="Calibri"/>
        <family val="2"/>
        <charset val="1"/>
      </rPr>
      <t xml:space="preserve">!D:D,"EI")</t>
    </r>
  </si>
  <si>
    <r>
      <rPr>
        <sz val="11"/>
        <color theme="1"/>
        <rFont val="Calibri"/>
        <family val="2"/>
        <charset val="1"/>
      </rPr>
      <t xml:space="preserve">EO </t>
    </r>
    <r>
      <rPr>
        <sz val="11"/>
        <color theme="1"/>
        <rFont val="Noto Sans CJK SC"/>
        <family val="2"/>
      </rPr>
      <t xml:space="preserve">数</t>
    </r>
  </si>
  <si>
    <r>
      <rPr>
        <sz val="11"/>
        <color theme="1"/>
        <rFont val="Noto Sans CJK SC"/>
        <family val="2"/>
      </rPr>
      <t xml:space="preserve">公式：</t>
    </r>
    <r>
      <rPr>
        <sz val="11"/>
        <color theme="1"/>
        <rFont val="Calibri"/>
        <family val="2"/>
        <charset val="1"/>
      </rPr>
      <t xml:space="preserve">COUNTIF(</t>
    </r>
    <r>
      <rPr>
        <sz val="11"/>
        <color theme="1"/>
        <rFont val="Noto Sans CJK SC"/>
        <family val="2"/>
      </rPr>
      <t xml:space="preserve">事务功能</t>
    </r>
    <r>
      <rPr>
        <sz val="11"/>
        <color theme="1"/>
        <rFont val="Calibri"/>
        <family val="2"/>
        <charset val="1"/>
      </rPr>
      <t xml:space="preserve">!D:D,"EO")</t>
    </r>
  </si>
  <si>
    <r>
      <rPr>
        <sz val="11"/>
        <color theme="1"/>
        <rFont val="Calibri"/>
        <family val="2"/>
        <charset val="1"/>
      </rPr>
      <t xml:space="preserve">EQ </t>
    </r>
    <r>
      <rPr>
        <sz val="11"/>
        <color theme="1"/>
        <rFont val="Noto Sans CJK SC"/>
        <family val="2"/>
      </rPr>
      <t xml:space="preserve">数</t>
    </r>
  </si>
  <si>
    <r>
      <rPr>
        <sz val="11"/>
        <color theme="1"/>
        <rFont val="Noto Sans CJK SC"/>
        <family val="2"/>
      </rPr>
      <t xml:space="preserve">公式：</t>
    </r>
    <r>
      <rPr>
        <sz val="11"/>
        <color theme="1"/>
        <rFont val="Calibri"/>
        <family val="2"/>
        <charset val="1"/>
      </rPr>
      <t xml:space="preserve">COUNTIF(</t>
    </r>
    <r>
      <rPr>
        <sz val="11"/>
        <color theme="1"/>
        <rFont val="Noto Sans CJK SC"/>
        <family val="2"/>
      </rPr>
      <t xml:space="preserve">事务功能</t>
    </r>
    <r>
      <rPr>
        <sz val="11"/>
        <color theme="1"/>
        <rFont val="Calibri"/>
        <family val="2"/>
        <charset val="1"/>
      </rPr>
      <t xml:space="preserve">!D:D,"EQ")</t>
    </r>
  </si>
  <si>
    <r>
      <rPr>
        <sz val="11"/>
        <color theme="1"/>
        <rFont val="Noto Sans CJK SC"/>
        <family val="2"/>
      </rPr>
      <t xml:space="preserve">数据功能 </t>
    </r>
    <r>
      <rPr>
        <sz val="11"/>
        <color theme="1"/>
        <rFont val="Calibri"/>
        <family val="2"/>
        <charset val="1"/>
      </rPr>
      <t xml:space="preserve">FP</t>
    </r>
  </si>
  <si>
    <r>
      <rPr>
        <sz val="11"/>
        <color theme="1"/>
        <rFont val="Noto Sans CJK SC"/>
        <family val="2"/>
      </rPr>
      <t xml:space="preserve">公式：</t>
    </r>
    <r>
      <rPr>
        <sz val="11"/>
        <color theme="1"/>
        <rFont val="Calibri"/>
        <family val="2"/>
        <charset val="1"/>
      </rPr>
      <t xml:space="preserve">SUM(</t>
    </r>
    <r>
      <rPr>
        <sz val="11"/>
        <color theme="1"/>
        <rFont val="Noto Sans CJK SC"/>
        <family val="2"/>
      </rPr>
      <t xml:space="preserve">数据功能</t>
    </r>
    <r>
      <rPr>
        <sz val="11"/>
        <color theme="1"/>
        <rFont val="Calibri"/>
        <family val="2"/>
        <charset val="1"/>
      </rPr>
      <t xml:space="preserve">!H:H)</t>
    </r>
  </si>
  <si>
    <r>
      <rPr>
        <sz val="11"/>
        <color theme="1"/>
        <rFont val="Noto Sans CJK SC"/>
        <family val="2"/>
      </rPr>
      <t xml:space="preserve">事务功能 </t>
    </r>
    <r>
      <rPr>
        <sz val="11"/>
        <color theme="1"/>
        <rFont val="Calibri"/>
        <family val="2"/>
        <charset val="1"/>
      </rPr>
      <t xml:space="preserve">FP</t>
    </r>
  </si>
  <si>
    <r>
      <rPr>
        <sz val="11"/>
        <color theme="1"/>
        <rFont val="Noto Sans CJK SC"/>
        <family val="2"/>
      </rPr>
      <t xml:space="preserve">公式：</t>
    </r>
    <r>
      <rPr>
        <sz val="11"/>
        <color theme="1"/>
        <rFont val="Calibri"/>
        <family val="2"/>
        <charset val="1"/>
      </rPr>
      <t xml:space="preserve">SUM(</t>
    </r>
    <r>
      <rPr>
        <sz val="11"/>
        <color theme="1"/>
        <rFont val="Noto Sans CJK SC"/>
        <family val="2"/>
      </rPr>
      <t xml:space="preserve">事务功能</t>
    </r>
    <r>
      <rPr>
        <sz val="11"/>
        <color theme="1"/>
        <rFont val="Calibri"/>
        <family val="2"/>
        <charset val="1"/>
      </rPr>
      <t xml:space="preserve">!H:H)</t>
    </r>
  </si>
  <si>
    <r>
      <rPr>
        <sz val="11"/>
        <color theme="1"/>
        <rFont val="Calibri"/>
        <family val="2"/>
        <charset val="1"/>
      </rPr>
      <t xml:space="preserve">UFP </t>
    </r>
    <r>
      <rPr>
        <sz val="11"/>
        <color theme="1"/>
        <rFont val="Noto Sans CJK SC"/>
        <family val="2"/>
      </rPr>
      <t xml:space="preserve">总数</t>
    </r>
  </si>
  <si>
    <r>
      <rPr>
        <sz val="11"/>
        <color theme="1"/>
        <rFont val="Noto Sans CJK SC"/>
        <family val="2"/>
      </rPr>
      <t xml:space="preserve">数据功能 </t>
    </r>
    <r>
      <rPr>
        <sz val="11"/>
        <color theme="1"/>
        <rFont val="Calibri"/>
        <family val="2"/>
        <charset val="1"/>
      </rPr>
      <t xml:space="preserve">FP + </t>
    </r>
    <r>
      <rPr>
        <sz val="11"/>
        <color theme="1"/>
        <rFont val="Noto Sans CJK SC"/>
        <family val="2"/>
      </rPr>
      <t xml:space="preserve">事务功能 </t>
    </r>
    <r>
      <rPr>
        <sz val="11"/>
        <color theme="1"/>
        <rFont val="Calibri"/>
        <family val="2"/>
        <charset val="1"/>
      </rPr>
      <t xml:space="preserve">FP</t>
    </r>
  </si>
  <si>
    <t xml:space="preserve">旧版校准</t>
  </si>
  <si>
    <t xml:space="preserve">233 FP</t>
  </si>
  <si>
    <r>
      <rPr>
        <sz val="11"/>
        <color theme="1"/>
        <rFont val="Noto Sans CJK SC"/>
        <family val="2"/>
      </rPr>
      <t xml:space="preserve">旧包机械合计：数据 </t>
    </r>
    <r>
      <rPr>
        <sz val="11"/>
        <color theme="1"/>
        <rFont val="Calibri"/>
        <family val="2"/>
        <charset val="1"/>
      </rPr>
      <t xml:space="preserve">80 + </t>
    </r>
    <r>
      <rPr>
        <sz val="11"/>
        <color theme="1"/>
        <rFont val="Noto Sans CJK SC"/>
        <family val="2"/>
      </rPr>
      <t xml:space="preserve">事务 </t>
    </r>
    <r>
      <rPr>
        <sz val="11"/>
        <color theme="1"/>
        <rFont val="Calibri"/>
        <family val="2"/>
        <charset val="1"/>
      </rPr>
      <t xml:space="preserve">153</t>
    </r>
    <r>
      <rPr>
        <sz val="11"/>
        <color theme="1"/>
        <rFont val="Noto Sans CJK SC"/>
        <family val="2"/>
      </rPr>
      <t xml:space="preserve">；旧版未形成正式总数。</t>
    </r>
  </si>
  <si>
    <t xml:space="preserve">E-19</t>
  </si>
  <si>
    <t xml:space="preserve">本版变化</t>
  </si>
  <si>
    <t xml:space="preserve">+34 FP</t>
  </si>
  <si>
    <r>
      <rPr>
        <sz val="11"/>
        <color theme="1"/>
        <rFont val="Noto Sans CJK SC"/>
        <family val="2"/>
      </rPr>
      <t xml:space="preserve">相对旧版机械合计；由独立账号、核对表、</t>
    </r>
    <r>
      <rPr>
        <sz val="11"/>
        <color theme="1"/>
        <rFont val="Calibri"/>
        <family val="2"/>
        <charset val="1"/>
      </rPr>
      <t xml:space="preserve">Word</t>
    </r>
    <r>
      <rPr>
        <sz val="11"/>
        <color theme="1"/>
        <rFont val="Noto Sans CJK SC"/>
        <family val="2"/>
      </rPr>
      <t xml:space="preserve">、分配 </t>
    </r>
    <r>
      <rPr>
        <sz val="11"/>
        <color theme="1"/>
        <rFont val="Calibri"/>
        <family val="2"/>
        <charset val="1"/>
      </rPr>
      <t xml:space="preserve">EO</t>
    </r>
    <r>
      <rPr>
        <sz val="11"/>
        <color theme="1"/>
        <rFont val="Noto Sans CJK SC"/>
        <family val="2"/>
      </rPr>
      <t xml:space="preserve">、年度查询及复杂度修正共同形成。</t>
    </r>
  </si>
  <si>
    <t xml:space="preserve">E-19,E-22</t>
  </si>
  <si>
    <t xml:space="preserve">非计数支撑工作</t>
  </si>
  <si>
    <t xml:space="preserve">割接、迁移、环境切换、线下发凭证、线下评等次</t>
  </si>
  <si>
    <t xml:space="preserve">不进入功能点；未提供单独割接材料入口。</t>
  </si>
  <si>
    <t xml:space="preserve">证据覆盖率</t>
  </si>
  <si>
    <t xml:space="preserve">100%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</si>
  <si>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个数据功能和 </t>
    </r>
    <r>
      <rPr>
        <sz val="11"/>
        <color theme="1"/>
        <rFont val="Calibri"/>
        <family val="2"/>
        <charset val="1"/>
      </rPr>
      <t xml:space="preserve">37 </t>
    </r>
    <r>
      <rPr>
        <sz val="11"/>
        <color theme="1"/>
        <rFont val="Noto Sans CJK SC"/>
        <family val="2"/>
      </rPr>
      <t xml:space="preserve">个事务功能均引用有效证据。</t>
    </r>
  </si>
  <si>
    <t xml:space="preserve">包状态</t>
  </si>
  <si>
    <t xml:space="preserve">完成</t>
  </si>
  <si>
    <t xml:space="preserve">零未决项；汇总可由明细复算。</t>
  </si>
  <si>
    <t xml:space="preserve">编号</t>
  </si>
  <si>
    <t xml:space="preserve">模块</t>
  </si>
  <si>
    <t xml:space="preserve">功能名称</t>
  </si>
  <si>
    <t xml:space="preserve">类型</t>
  </si>
  <si>
    <r>
      <rPr>
        <b val="true"/>
        <sz val="11"/>
        <color rgb="FFFFFFFF"/>
        <rFont val="Cambria"/>
        <family val="0"/>
        <charset val="1"/>
      </rPr>
      <t xml:space="preserve">RET </t>
    </r>
    <r>
      <rPr>
        <b val="true"/>
        <sz val="11"/>
        <color rgb="FFFFFFFF"/>
        <rFont val="Noto Sans CJK SC"/>
        <family val="2"/>
      </rPr>
      <t xml:space="preserve">数</t>
    </r>
  </si>
  <si>
    <r>
      <rPr>
        <b val="true"/>
        <sz val="11"/>
        <color rgb="FFFFFFFF"/>
        <rFont val="Cambria"/>
        <family val="0"/>
        <charset val="1"/>
      </rPr>
      <t xml:space="preserve">DET </t>
    </r>
    <r>
      <rPr>
        <b val="true"/>
        <sz val="11"/>
        <color rgb="FFFFFFFF"/>
        <rFont val="Noto Sans CJK SC"/>
        <family val="2"/>
      </rPr>
      <t xml:space="preserve">数</t>
    </r>
  </si>
  <si>
    <t xml:space="preserve">复杂度</t>
  </si>
  <si>
    <t xml:space="preserve">FP</t>
  </si>
  <si>
    <r>
      <rPr>
        <b val="true"/>
        <sz val="11"/>
        <color rgb="FFFFFFFF"/>
        <rFont val="Cambria"/>
        <family val="0"/>
        <charset val="1"/>
      </rPr>
      <t xml:space="preserve">RET </t>
    </r>
    <r>
      <rPr>
        <b val="true"/>
        <sz val="11"/>
        <color rgb="FFFFFFFF"/>
        <rFont val="Noto Sans CJK SC"/>
        <family val="2"/>
      </rPr>
      <t xml:space="preserve">明细</t>
    </r>
  </si>
  <si>
    <r>
      <rPr>
        <b val="true"/>
        <sz val="11"/>
        <color rgb="FFFFFFFF"/>
        <rFont val="Cambria"/>
        <family val="0"/>
        <charset val="1"/>
      </rPr>
      <t xml:space="preserve">DET </t>
    </r>
    <r>
      <rPr>
        <b val="true"/>
        <sz val="11"/>
        <color rgb="FFFFFFFF"/>
        <rFont val="Noto Sans CJK SC"/>
        <family val="2"/>
      </rPr>
      <t xml:space="preserve">明细</t>
    </r>
  </si>
  <si>
    <t xml:space="preserve">用户确认记录</t>
  </si>
  <si>
    <t xml:space="preserve">DF-01</t>
  </si>
  <si>
    <t xml:space="preserve">计划人员</t>
  </si>
  <si>
    <t xml:space="preserve">组织人员导入快照</t>
  </si>
  <si>
    <t xml:space="preserve">ILF</t>
  </si>
  <si>
    <t xml:space="preserve">低</t>
  </si>
  <si>
    <t xml:space="preserve">计划人员
计划部门
计划任职</t>
  </si>
  <si>
    <t xml:space="preserve">员工编号
主系统人员标识
姓名
考核部门名称
职级</t>
  </si>
  <si>
    <t xml:space="preserve">E-04,E-05,E-07,E-08,E-20</t>
  </si>
  <si>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用户确认：本次为员工年度考核新项目，全部目标功能按 </t>
    </r>
    <r>
      <rPr>
        <sz val="11"/>
        <color theme="1"/>
        <rFont val="Calibri"/>
        <family val="2"/>
        <charset val="1"/>
      </rPr>
      <t xml:space="preserve">ADD </t>
    </r>
    <r>
      <rPr>
        <sz val="11"/>
        <color theme="1"/>
        <rFont val="Noto Sans CJK SC"/>
        <family val="2"/>
      </rPr>
      <t xml:space="preserve">计数。</t>
    </r>
  </si>
  <si>
    <t xml:space="preserve">DF-02</t>
  </si>
  <si>
    <t xml:space="preserve">部门职级权重</t>
  </si>
  <si>
    <t xml:space="preserve">考核部门名称
职级
考核权重</t>
  </si>
  <si>
    <t xml:space="preserve">E-04,E-05,E-08,E-20</t>
  </si>
  <si>
    <t xml:space="preserve">DF-03</t>
  </si>
  <si>
    <t xml:space="preserve">总监主考核</t>
  </si>
  <si>
    <r>
      <rPr>
        <sz val="11"/>
        <color theme="1"/>
        <rFont val="Noto Sans CJK SC"/>
        <family val="2"/>
      </rPr>
      <t xml:space="preserve">主考核 </t>
    </r>
    <r>
      <rPr>
        <sz val="11"/>
        <color theme="1"/>
        <rFont val="Calibri"/>
        <family val="2"/>
        <charset val="1"/>
      </rPr>
      <t xml:space="preserve">BU
</t>
    </r>
    <r>
      <rPr>
        <sz val="11"/>
        <color theme="1"/>
        <rFont val="Noto Sans CJK SC"/>
        <family val="2"/>
      </rPr>
      <t xml:space="preserve">主考核正副职名单</t>
    </r>
  </si>
  <si>
    <t xml:space="preserve">总监姓名
总监员工编号
主考核部门
评分人姓名
评分人员工编号
评分人任职部门
评分角色</t>
  </si>
  <si>
    <t xml:space="preserve">DF-04</t>
  </si>
  <si>
    <t xml:space="preserve">考核模板</t>
  </si>
  <si>
    <t xml:space="preserve">模板
指标</t>
  </si>
  <si>
    <t xml:space="preserve">模板名称
模板说明
模板状态
可用于新计划
指标名称
指标说明
同级排序
指标满分
指标层次</t>
  </si>
  <si>
    <t xml:space="preserve">E-05,E-06,E-18,E-20</t>
  </si>
  <si>
    <t xml:space="preserve">DF-05</t>
  </si>
  <si>
    <t xml:space="preserve">年度考核计划</t>
  </si>
  <si>
    <t xml:space="preserve">年度考核计划及计划指标快照</t>
  </si>
  <si>
    <t xml:space="preserve">计划
计划指标</t>
  </si>
  <si>
    <t xml:space="preserve">考核年度
考核模板
计划状态
备注
发起人
草稿版本
创建时间
发布时间
完成时间
终止时间
总监组默认权重
正职组默认权重
副职组默认权重
员工组默认权重
指标名称
指标说明
同级排序
指标满分
指标层次</t>
  </si>
  <si>
    <t xml:space="preserve">E-04,E-05,E-07,E-08,E-09</t>
  </si>
  <si>
    <t xml:space="preserve">DF-06</t>
  </si>
  <si>
    <t xml:space="preserve">评分结构</t>
  </si>
  <si>
    <t xml:space="preserve">被考核人
评分组
评分关系
评分席位</t>
  </si>
  <si>
    <t xml:space="preserve">被考核人姓名
被考核人类型
考核归属部门
评分组
有效权重
评分席位部门
评分席位职级</t>
  </si>
  <si>
    <t xml:space="preserve">E-04,E-05,E-09,E-20</t>
  </si>
  <si>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用户确认：本次为员工年度考核新项目，全部目标功能按 </t>
    </r>
    <r>
      <rPr>
        <sz val="11"/>
        <color theme="1"/>
        <rFont val="Calibri"/>
        <family val="2"/>
        <charset val="1"/>
      </rPr>
      <t xml:space="preserve">ADD </t>
    </r>
    <r>
      <rPr>
        <sz val="11"/>
        <color theme="1"/>
        <rFont val="Noto Sans CJK SC"/>
        <family val="2"/>
      </rPr>
      <t xml:space="preserve">计数。 匿名账号及席位授权另列独立 </t>
    </r>
    <r>
      <rPr>
        <sz val="11"/>
        <color theme="1"/>
        <rFont val="Calibri"/>
        <family val="2"/>
        <charset val="1"/>
      </rPr>
      <t xml:space="preserve">ILF</t>
    </r>
    <r>
      <rPr>
        <sz val="11"/>
        <color theme="1"/>
        <rFont val="Noto Sans CJK SC"/>
        <family val="2"/>
      </rPr>
      <t xml:space="preserve">。</t>
    </r>
  </si>
  <si>
    <t xml:space="preserve">DF-07</t>
  </si>
  <si>
    <t xml:space="preserve">匿名评分</t>
  </si>
  <si>
    <t xml:space="preserve">匿名评分账号</t>
  </si>
  <si>
    <t xml:space="preserve">匿名评分账号
账号席位授权</t>
  </si>
  <si>
    <t xml:space="preserve">匿名账号
初始密码
账号类型
账号状态
最终提交时间
领导发放对象
授权部门
授权职级</t>
  </si>
  <si>
    <t xml:space="preserve">E-04,E-05,E-09,E-10,E-12,E-20,E-22</t>
  </si>
  <si>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用户确认：匿名评分账号及席位授权独立为 </t>
    </r>
    <r>
      <rPr>
        <sz val="11"/>
        <color theme="1"/>
        <rFont val="Calibri"/>
        <family val="2"/>
        <charset val="1"/>
      </rPr>
      <t xml:space="preserve">ILF</t>
    </r>
    <r>
      <rPr>
        <sz val="11"/>
        <color theme="1"/>
        <rFont val="Noto Sans CJK SC"/>
        <family val="2"/>
      </rPr>
      <t xml:space="preserve">。</t>
    </r>
  </si>
  <si>
    <t xml:space="preserve">DF-08</t>
  </si>
  <si>
    <t xml:space="preserve">分管范围</t>
  </si>
  <si>
    <t xml:space="preserve">领导普通员工分管范围</t>
  </si>
  <si>
    <t xml:space="preserve">评分主体
考核部门名称
任职角色
员工成员
范围来源</t>
  </si>
  <si>
    <t xml:space="preserve">DF-09</t>
  </si>
  <si>
    <t xml:space="preserve">评分任务与指标所得分</t>
  </si>
  <si>
    <t xml:space="preserve">评分任务
指标所得分</t>
  </si>
  <si>
    <t xml:space="preserve">被考核人姓名
考核指标
指标所得分
评分总分
任务状态</t>
  </si>
  <si>
    <t xml:space="preserve">E-04,E-05,E-09,E-10,E-13</t>
  </si>
  <si>
    <t xml:space="preserve">DF-10</t>
  </si>
  <si>
    <t xml:space="preserve">评分汇总</t>
  </si>
  <si>
    <t xml:space="preserve">评分组汇总
被考核人汇总分</t>
  </si>
  <si>
    <t xml:space="preserve">被考核人姓名
评分组
组内平均分
组加权分
评分汇总分</t>
  </si>
  <si>
    <t xml:space="preserve">E-04,E-05,E-09,E-11</t>
  </si>
  <si>
    <t xml:space="preserve">DF-11</t>
  </si>
  <si>
    <t xml:space="preserve">年度考核登记表</t>
  </si>
  <si>
    <t xml:space="preserve">考核年度
员工编号
姓名
现单位
现部门
年度主要工作摘要
年度考核等次
登记状态</t>
  </si>
  <si>
    <t xml:space="preserve">E-04,E-05,E-15</t>
  </si>
  <si>
    <t xml:space="preserve">DF-12</t>
  </si>
  <si>
    <t xml:space="preserve">主数据读取</t>
  </si>
  <si>
    <t xml:space="preserve">主系统人员</t>
  </si>
  <si>
    <t xml:space="preserve">ELF</t>
  </si>
  <si>
    <t xml:space="preserve">员工标识
员工编号
姓名
现单位
人员状态</t>
  </si>
  <si>
    <t xml:space="preserve">E-04,E-05,E-16</t>
  </si>
  <si>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用户确认：本次为员工年度考核新项目，全部目标功能按 </t>
    </r>
    <r>
      <rPr>
        <sz val="11"/>
        <color theme="1"/>
        <rFont val="Calibri"/>
        <family val="2"/>
        <charset val="1"/>
      </rPr>
      <t xml:space="preserve">ADD </t>
    </r>
    <r>
      <rPr>
        <sz val="11"/>
        <color theme="1"/>
        <rFont val="Noto Sans CJK SC"/>
        <family val="2"/>
      </rPr>
      <t xml:space="preserve">计数。 主系统人员由外部应用维护，本应用只读。</t>
    </r>
  </si>
  <si>
    <t xml:space="preserve">DF-13</t>
  </si>
  <si>
    <t xml:space="preserve">主系统部门</t>
  </si>
  <si>
    <t xml:space="preserve">现部门</t>
  </si>
  <si>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用户确认：本次为员工年度考核新项目，全部目标功能按 </t>
    </r>
    <r>
      <rPr>
        <sz val="11"/>
        <color theme="1"/>
        <rFont val="Calibri"/>
        <family val="2"/>
        <charset val="1"/>
      </rPr>
      <t xml:space="preserve">ADD </t>
    </r>
    <r>
      <rPr>
        <sz val="11"/>
        <color theme="1"/>
        <rFont val="Noto Sans CJK SC"/>
        <family val="2"/>
      </rPr>
      <t xml:space="preserve">计数。 主系统部门由外部应用维护，本应用只读。</t>
    </r>
  </si>
  <si>
    <r>
      <rPr>
        <b val="true"/>
        <sz val="11"/>
        <color rgb="FFFFFFFF"/>
        <rFont val="Cambria"/>
        <family val="0"/>
        <charset val="1"/>
      </rPr>
      <t xml:space="preserve">FTR </t>
    </r>
    <r>
      <rPr>
        <b val="true"/>
        <sz val="11"/>
        <color rgb="FFFFFFFF"/>
        <rFont val="Noto Sans CJK SC"/>
        <family val="2"/>
      </rPr>
      <t xml:space="preserve">数</t>
    </r>
  </si>
  <si>
    <t xml:space="preserve">处理说明</t>
  </si>
  <si>
    <r>
      <rPr>
        <b val="true"/>
        <sz val="11"/>
        <color rgb="FFFFFFFF"/>
        <rFont val="Cambria"/>
        <family val="0"/>
        <charset val="1"/>
      </rPr>
      <t xml:space="preserve">DET </t>
    </r>
    <r>
      <rPr>
        <b val="true"/>
        <sz val="11"/>
        <color rgb="FFFFFFFF"/>
        <rFont val="Noto Sans CJK SC"/>
        <family val="2"/>
      </rPr>
      <t xml:space="preserve">明细（带侧）</t>
    </r>
  </si>
  <si>
    <r>
      <rPr>
        <b val="true"/>
        <sz val="11"/>
        <color rgb="FFFFFFFF"/>
        <rFont val="Cambria"/>
        <family val="0"/>
        <charset val="1"/>
      </rPr>
      <t xml:space="preserve">FTR </t>
    </r>
    <r>
      <rPr>
        <b val="true"/>
        <sz val="11"/>
        <color rgb="FFFFFFFF"/>
        <rFont val="Noto Sans CJK SC"/>
        <family val="2"/>
      </rPr>
      <t xml:space="preserve">引用</t>
    </r>
  </si>
  <si>
    <t xml:space="preserve">TF-01</t>
  </si>
  <si>
    <t xml:space="preserve">新建考核模板</t>
  </si>
  <si>
    <t xml:space="preserve">EI</t>
  </si>
  <si>
    <t xml:space="preserve">创建草稿模板并保存模板资料。</t>
  </si>
  <si>
    <t xml:space="preserve">启动触发：启动触发
输入：模板名称
输入：模板说明
消息：消息</t>
  </si>
  <si>
    <t xml:space="preserve">E-06,E-18</t>
  </si>
  <si>
    <t xml:space="preserve">TF-02</t>
  </si>
  <si>
    <t xml:space="preserve">修改考核模板资料</t>
  </si>
  <si>
    <t xml:space="preserve">修改草稿模板的名称和说明。</t>
  </si>
  <si>
    <t xml:space="preserve">TF-03</t>
  </si>
  <si>
    <t xml:space="preserve">配置考核指标</t>
  </si>
  <si>
    <t xml:space="preserve">整体替换草稿模板的两层指标结构。</t>
  </si>
  <si>
    <t xml:space="preserve">启动触发：启动触发
输入：指标名称
输入：指标说明
输入：同级排序
输入：指标满分
输入：指标层次
消息：消息</t>
  </si>
  <si>
    <t xml:space="preserve">TF-04</t>
  </si>
  <si>
    <t xml:space="preserve">发布考核模板</t>
  </si>
  <si>
    <t xml:space="preserve">校验完整指标和满分合计后，将草稿模板发布。</t>
  </si>
  <si>
    <t xml:space="preserve">启动触发：启动触发
消息：消息</t>
  </si>
  <si>
    <t xml:space="preserve">TF-05</t>
  </si>
  <si>
    <t xml:space="preserve">停用考核模板</t>
  </si>
  <si>
    <t xml:space="preserve">停用已发布模板，使其不可用于新计划。</t>
  </si>
  <si>
    <t xml:space="preserve">TF-06</t>
  </si>
  <si>
    <t xml:space="preserve">复制考核模板</t>
  </si>
  <si>
    <t xml:space="preserve">按用户输入的新名称复制为独立草稿模板。</t>
  </si>
  <si>
    <t xml:space="preserve">启动触发：启动触发
输入：模板名称
消息：消息</t>
  </si>
  <si>
    <t xml:space="preserve">TF-07</t>
  </si>
  <si>
    <t xml:space="preserve">删除草稿考核模板</t>
  </si>
  <si>
    <t xml:space="preserve">删除未发布模板及其指标。</t>
  </si>
  <si>
    <t xml:space="preserve">TF-08</t>
  </si>
  <si>
    <t xml:space="preserve">查询考核模板</t>
  </si>
  <si>
    <t xml:space="preserve">EQ</t>
  </si>
  <si>
    <t xml:space="preserve">查询模板列表、详情和两层指标树。</t>
  </si>
  <si>
    <t xml:space="preserve">启动触发：启动触发
输入：模板状态
输出：模板名称
输出：模板说明
输出：模板状态
输出：可用于新计划
输出：指标名称
输出：指标说明
输出：同级排序
输出：指标满分
输出：指标层次
消息：消息</t>
  </si>
  <si>
    <t xml:space="preserve">TF-09</t>
  </si>
  <si>
    <t xml:space="preserve">新建年度考核计划</t>
  </si>
  <si>
    <t xml:space="preserve">中</t>
  </si>
  <si>
    <t xml:space="preserve">创建草稿计划；四项默认权重由系统固化。</t>
  </si>
  <si>
    <t xml:space="preserve">启动触发：启动触发
输入：考核年度
输入：考核模板
输入：备注
消息：消息</t>
  </si>
  <si>
    <r>
      <rPr>
        <sz val="11"/>
        <color theme="1"/>
        <rFont val="Calibri"/>
        <family val="2"/>
        <charset val="1"/>
      </rPr>
      <t xml:space="preserve">DF-04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DF-05</t>
    </r>
  </si>
  <si>
    <t xml:space="preserve">E-07,E-08,E-18</t>
  </si>
  <si>
    <t xml:space="preserve">TF-10</t>
  </si>
  <si>
    <t xml:space="preserve">修改草稿计划</t>
  </si>
  <si>
    <t xml:space="preserve">修改模板或备注，并重建未发布的人员评分结构。</t>
  </si>
  <si>
    <t xml:space="preserve">启动触发：启动触发
输入：考核模板
输入：备注
消息：消息</t>
  </si>
  <si>
    <r>
      <rPr>
        <sz val="11"/>
        <color theme="1"/>
        <rFont val="Calibri"/>
        <family val="2"/>
        <charset val="1"/>
      </rPr>
      <t xml:space="preserve">DF-01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DF-08</t>
    </r>
  </si>
  <si>
    <t xml:space="preserve">E-07,E-08,E-09,E-18</t>
  </si>
  <si>
    <t xml:space="preserve">TF-11</t>
  </si>
  <si>
    <t xml:space="preserve">删除草稿计划</t>
  </si>
  <si>
    <t xml:space="preserve">删除未发布计划及全部草稿结构。</t>
  </si>
  <si>
    <r>
      <rPr>
        <sz val="11"/>
        <color theme="1"/>
        <rFont val="Calibri"/>
        <family val="2"/>
        <charset val="1"/>
      </rPr>
      <t xml:space="preserve">DF-01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DF-08</t>
    </r>
  </si>
  <si>
    <t xml:space="preserve">TF-12</t>
  </si>
  <si>
    <t xml:space="preserve">查询年度考核计划</t>
  </si>
  <si>
    <t xml:space="preserve">按年度和状态查询计划列表，并呈现模板、发起人和生命周期时间。</t>
  </si>
  <si>
    <t xml:space="preserve">启动触发：启动触发
输入：考核年度
输入：计划状态
输出：考核年度
输出：考核模板
输出：计划状态
输出：备注
输出：发起人
输出：草稿版本
输出：创建时间
输出：发布时间
输出：完成时间
输出：终止时间
消息：消息</t>
  </si>
  <si>
    <r>
      <rPr>
        <sz val="11"/>
        <color theme="1"/>
        <rFont val="Calibri"/>
        <family val="2"/>
        <charset val="1"/>
      </rPr>
      <t xml:space="preserve">DF-04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DF-12</t>
    </r>
  </si>
  <si>
    <t xml:space="preserve">TF-13</t>
  </si>
  <si>
    <t xml:space="preserve">核对人员文件</t>
  </si>
  <si>
    <t xml:space="preserve">EO</t>
  </si>
  <si>
    <t xml:space="preserve">高</t>
  </si>
  <si>
    <t xml:space="preserve">只读核对双表文件，校验身份、任职、权重和主考核，输出替换影响与结构预览。</t>
  </si>
  <si>
    <t xml:space="preserve">启动触发：启动触发
输入：姓名
输入：员工编号
输入：考核部门名称
输入：职级
输入：考核权重
输入：总监姓名
输入：总监员工编号
输入：主考核部门
输入：评分人姓名
输入：评分人员工编号
输入：评分人任职部门
输出：被考核人数
输出：评分身份数
输出：评分关系数
输出：员工账号数
输出：领导账号数
输出：职级人数
输出：考核部门名称
输出：职级
输出：考核权重
输出：权重来源
输出：替换影响
消息：消息</t>
  </si>
  <si>
    <r>
      <rPr>
        <sz val="11"/>
        <color theme="1"/>
        <rFont val="Calibri"/>
        <family val="2"/>
        <charset val="1"/>
      </rPr>
      <t xml:space="preserve">DF-01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DF-12</t>
    </r>
  </si>
  <si>
    <t xml:space="preserve">E-07,E-08,E-18,E-21</t>
  </si>
  <si>
    <t xml:space="preserve">TF-14</t>
  </si>
  <si>
    <t xml:space="preserve">确认替换人员配置</t>
  </si>
  <si>
    <t xml:space="preserve">确认同一份已核对文件，全量替换人员、部门、任职、权重、主考核和分管并重建结构。</t>
  </si>
  <si>
    <t xml:space="preserve">启动触发：启动触发
输入：姓名
输入：员工编号
输入：考核部门名称
输入：职级
输入：考核权重
输入：总监姓名
输入：总监员工编号
输入：主考核部门
输入：评分人姓名
输入：评分人员工编号
输入：评分人任职部门
输出：人员数
输出：部门数
输出：任职数
消息：消息</t>
  </si>
  <si>
    <t xml:space="preserve">E-07,E-08,E-09,E-18,E-21</t>
  </si>
  <si>
    <t xml:space="preserve">TF-15</t>
  </si>
  <si>
    <t xml:space="preserve">查询任职清单</t>
  </si>
  <si>
    <t xml:space="preserve">按部门和职级查询人员任职快照，并标示受考核任职。</t>
  </si>
  <si>
    <t xml:space="preserve">启动触发：启动触发
输入：考核部门名称
输入：职级
输出：姓名
输出：员工编号
输出：考核部门名称
输出：职级
输出：是否被考核人
消息：消息</t>
  </si>
  <si>
    <r>
      <rPr>
        <sz val="11"/>
        <color theme="1"/>
        <rFont val="Calibri"/>
        <family val="2"/>
        <charset val="1"/>
      </rPr>
      <t xml:space="preserve">DF-01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DF-06</t>
    </r>
  </si>
  <si>
    <t xml:space="preserve">TF-16</t>
  </si>
  <si>
    <t xml:space="preserve">查询主考核与分管</t>
  </si>
  <si>
    <t xml:space="preserve">按完整一致快照组装主考核名单与最终分管范围，并派生来源和配置完整性信息。</t>
  </si>
  <si>
    <t xml:space="preserve">启动触发：启动触发
输入：考核部门名称
输入：职级
输入：姓名
输入：范围来源
输出：总监姓名
输出：总监员工编号
输出：主考核部门
输出：评分人姓名
输出：评分人员工编号
输出：评分人任职部门
输出：评分角色
输出：评分主体
输出：考核部门名称
输出：任职角色
输出：员工成员
输出：范围来源
消息：消息</t>
  </si>
  <si>
    <r>
      <rPr>
        <sz val="11"/>
        <color theme="1"/>
        <rFont val="Calibri"/>
        <family val="2"/>
        <charset val="1"/>
      </rPr>
      <t xml:space="preserve">DF-01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DF-08</t>
    </r>
  </si>
  <si>
    <t xml:space="preserve">E-07,E-08,E-18,E-20,E-21</t>
  </si>
  <si>
    <t xml:space="preserve">TF-17</t>
  </si>
  <si>
    <t xml:space="preserve">保存分管范围</t>
  </si>
  <si>
    <t xml:space="preserve">替换一名领导的普通员工分管范围，并重建评分结构。</t>
  </si>
  <si>
    <t xml:space="preserve">启动触发：启动触发
输入：评分主体
输入：员工成员
消息：消息</t>
  </si>
  <si>
    <t xml:space="preserve">TF-18</t>
  </si>
  <si>
    <t xml:space="preserve">查询评分结构</t>
  </si>
  <si>
    <t xml:space="preserve">按部门推导被考核人任务数、有效权重、缺组转移和评分来源。</t>
  </si>
  <si>
    <t xml:space="preserve">启动触发：启动触发
输入：考核部门名称
输出：被考核人姓名
输出：被考核人类型
输出：考核归属
输出：被考核人任务数
输出：评分组
输出：有效权重
输出：权重来源
输出：缺组转移
输出：评分来源
消息：消息</t>
  </si>
  <si>
    <r>
      <rPr>
        <sz val="11"/>
        <color theme="1"/>
        <rFont val="Calibri"/>
        <family val="2"/>
        <charset val="1"/>
      </rPr>
      <t xml:space="preserve">DF-01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DF-08</t>
    </r>
  </si>
  <si>
    <t xml:space="preserve">E-07,E-09,E-18,E-21</t>
  </si>
  <si>
    <t xml:space="preserve">TF-19</t>
  </si>
  <si>
    <t xml:space="preserve">发布计划</t>
  </si>
  <si>
    <t xml:space="preserve">完成就绪门禁，激活匿名账号、生成评分任务、冻结结构并一次性交付凭证。</t>
  </si>
  <si>
    <t xml:space="preserve">启动触发：启动触发
输入：草稿版本
输出：匿名账号
输出：初始密码
输出：账号类型
输出：发放对象
输出：授权部门
输出：授权职级
输出：应评总监组合
输出：发放份数
输出：账号任务数
消息：消息</t>
  </si>
  <si>
    <r>
      <rPr>
        <sz val="11"/>
        <color theme="1"/>
        <rFont val="Calibri"/>
        <family val="2"/>
        <charset val="1"/>
      </rPr>
      <t xml:space="preserve">DF-01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DF-09</t>
    </r>
  </si>
  <si>
    <t xml:space="preserve">E-07,E-09,E-10,E-20,E-21</t>
  </si>
  <si>
    <t xml:space="preserve">TF-20</t>
  </si>
  <si>
    <t xml:space="preserve">批量重置未提交凭证</t>
  </si>
  <si>
    <t xml:space="preserve">重置进行中计划全部未提交账号密码、撤销会话并重新交付凭证。</t>
  </si>
  <si>
    <t xml:space="preserve">启动触发：启动触发
输出：匿名账号
输出：初始密码
输出：账号类型
输出：发放对象
输出：授权部门
输出：授权职级
输出：应评总监组合
输出：发放份数
输出：账号任务数
消息：消息</t>
  </si>
  <si>
    <r>
      <rPr>
        <sz val="11"/>
        <color theme="1"/>
        <rFont val="Calibri"/>
        <family val="2"/>
        <charset val="1"/>
      </rPr>
      <t xml:space="preserve">DF-01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DF-07</t>
    </r>
  </si>
  <si>
    <t xml:space="preserve">E-07,E-10,E-12,E-20,E-21</t>
  </si>
  <si>
    <t xml:space="preserve">TF-21</t>
  </si>
  <si>
    <t xml:space="preserve">终止计划</t>
  </si>
  <si>
    <t xml:space="preserve">终止计划、阻断登录与提交，并撤销全部评分会话。</t>
  </si>
  <si>
    <t xml:space="preserve">启动触发：启动触发
输出：计划状态
消息：消息</t>
  </si>
  <si>
    <r>
      <rPr>
        <sz val="11"/>
        <color theme="1"/>
        <rFont val="Calibri"/>
        <family val="2"/>
        <charset val="1"/>
      </rPr>
      <t xml:space="preserve">DF-05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DF-07</t>
    </r>
  </si>
  <si>
    <t xml:space="preserve">TF-22</t>
  </si>
  <si>
    <t xml:space="preserve">完成计划</t>
  </si>
  <si>
    <t xml:space="preserve">校验全部任务已提交后固化评分组结果和个人汇总分，并结束计划。</t>
  </si>
  <si>
    <r>
      <rPr>
        <sz val="11"/>
        <color theme="1"/>
        <rFont val="Calibri"/>
        <family val="2"/>
        <charset val="1"/>
      </rPr>
      <t xml:space="preserve">DF-05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DF-10</t>
    </r>
  </si>
  <si>
    <t xml:space="preserve">E-07,E-09,E-10,E-11,E-20,E-21</t>
  </si>
  <si>
    <t xml:space="preserve">TF-23</t>
  </si>
  <si>
    <t xml:space="preserve">查询评分进度</t>
  </si>
  <si>
    <t xml:space="preserve">统计任务和账号进度，并判断计划是否满足完成条件。</t>
  </si>
  <si>
    <t xml:space="preserve">启动触发：启动触发
输出：已提交任务数
输出：任务总数
输出：已提交账号数
输出：账号总数
消息：消息</t>
  </si>
  <si>
    <r>
      <rPr>
        <sz val="11"/>
        <color theme="1"/>
        <rFont val="Calibri"/>
        <family val="2"/>
        <charset val="1"/>
      </rPr>
      <t xml:space="preserve">DF-05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DF-09</t>
    </r>
  </si>
  <si>
    <t xml:space="preserve">E-07,E-11,E-18,E-21</t>
  </si>
  <si>
    <t xml:space="preserve">TF-24</t>
  </si>
  <si>
    <t xml:space="preserve">查询评分汇总</t>
  </si>
  <si>
    <t xml:space="preserve">查询已固化的评分组结果、个人汇总分和年度考核等次。</t>
  </si>
  <si>
    <t xml:space="preserve">启动触发：启动触发
输入：考核部门名称
输入：姓名
输入：员工编号
输入：年度考核等次
输出：考核年度
输出：姓名
输出：员工编号
输出：考核部门名称
输出：评分组
输出：有效权重
输出：组内平均分
输出：组加权分
输出：评分汇总分
输出：年度考核等次
消息：消息</t>
  </si>
  <si>
    <r>
      <rPr>
        <sz val="11"/>
        <color theme="1"/>
        <rFont val="Calibri"/>
        <family val="2"/>
        <charset val="1"/>
      </rPr>
      <t xml:space="preserve">DF-01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DF-11</t>
    </r>
  </si>
  <si>
    <t xml:space="preserve">TF-25</t>
  </si>
  <si>
    <t xml:space="preserve">查询评分汇总明细</t>
  </si>
  <si>
    <t xml:space="preserve">校验完整审计链，并在读取时重算总监员工组组成项均分。</t>
  </si>
  <si>
    <r>
      <rPr>
        <sz val="11"/>
        <color theme="1"/>
        <rFont val="Noto Sans CJK SC"/>
        <family val="2"/>
      </rPr>
      <t xml:space="preserve">启动触发：启动触发
输入：被考核人姓名
输出：被考核人姓名
输出：员工编号
输出：考核部门名称
输出：年度考核等次
输出：评分组
输出：匿名评分
输出：分管 </t>
    </r>
    <r>
      <rPr>
        <sz val="11"/>
        <color theme="1"/>
        <rFont val="Calibri"/>
        <family val="2"/>
        <charset val="1"/>
      </rPr>
      <t xml:space="preserve">BU
</t>
    </r>
    <r>
      <rPr>
        <sz val="11"/>
        <color theme="1"/>
        <rFont val="Noto Sans CJK SC"/>
        <family val="2"/>
      </rPr>
      <t xml:space="preserve">输出：评分总分
输出：考核指标
输出：指标满分
输出：指标所得分
输出：有效权重
输出：组内平均分
输出：组加权分
输出：组成项均分
输出：评分汇总分
消息：消息</t>
    </r>
  </si>
  <si>
    <r>
      <rPr>
        <sz val="11"/>
        <color theme="1"/>
        <rFont val="Calibri"/>
        <family val="2"/>
        <charset val="1"/>
      </rPr>
      <t xml:space="preserve">DF-01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DF-11</t>
    </r>
  </si>
  <si>
    <t xml:space="preserve">E-07,E-08,E-11,E-18,E-21</t>
  </si>
  <si>
    <t xml:space="preserve">TF-26</t>
  </si>
  <si>
    <t xml:space="preserve">导入年度考核等次</t>
  </si>
  <si>
    <t xml:space="preserve">整表校验等次后原子写入登记表；登记表不存在时按计划快照代建。</t>
  </si>
  <si>
    <t xml:space="preserve">启动触发：启动触发
输入：考核年度
输入：考核部门名称
输入：姓名
输入：员工编号
输入：评分汇总分
输入：年度考核等次
输出：导入人数
输出：变更人数
消息：消息</t>
  </si>
  <si>
    <r>
      <rPr>
        <sz val="11"/>
        <color theme="1"/>
        <rFont val="Calibri"/>
        <family val="2"/>
        <charset val="1"/>
      </rPr>
      <t xml:space="preserve">DF-01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DF-11</t>
    </r>
  </si>
  <si>
    <t xml:space="preserve">E-07,E-08,E-11,E-15,E-21</t>
  </si>
  <si>
    <t xml:space="preserve">TF-27</t>
  </si>
  <si>
    <t xml:space="preserve">导出主考核与分管核对表</t>
  </si>
  <si>
    <t xml:space="preserve">从完整一致快照生成人员结构和领导分管两张核对表。</t>
  </si>
  <si>
    <t xml:space="preserve">启动触发：启动触发
输出：考核年度
输出：考核部门名称
输出：考核员工
输出：考核总监
输出：被考核人数
输出：评分角色
输出：姓名
输出：匹配规则
输出：分管的员工
输出：总监评分来源
消息：消息</t>
  </si>
  <si>
    <t xml:space="preserve">E-07,E-08,E-18,E-22,E-21</t>
  </si>
  <si>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用户确认：主考核与分管核对表导出独立计数。</t>
    </r>
  </si>
  <si>
    <t xml:space="preserve">TF-28</t>
  </si>
  <si>
    <t xml:space="preserve">查询可选年度</t>
  </si>
  <si>
    <t xml:space="preserve">按当前年度、上一年度和历史档案推导可选年度与默认打开年度。</t>
  </si>
  <si>
    <t xml:space="preserve">启动触发：启动触发
输出：可选年度集合
输出：默认年度
输出：当前员工身份
消息：消息</t>
  </si>
  <si>
    <r>
      <rPr>
        <sz val="11"/>
        <color theme="1"/>
        <rFont val="Calibri"/>
        <family val="2"/>
        <charset val="1"/>
      </rPr>
      <t xml:space="preserve">DF-11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DF-13</t>
    </r>
  </si>
  <si>
    <t xml:space="preserve">E-15,E-18,E-22</t>
  </si>
  <si>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用户确认：可选年度查询独立计数，计 </t>
    </r>
    <r>
      <rPr>
        <sz val="11"/>
        <color theme="1"/>
        <rFont val="Calibri"/>
        <family val="2"/>
        <charset val="1"/>
      </rPr>
      <t xml:space="preserve">4 FP</t>
    </r>
    <r>
      <rPr>
        <sz val="11"/>
        <color theme="1"/>
        <rFont val="Noto Sans CJK SC"/>
        <family val="2"/>
      </rPr>
      <t xml:space="preserve">。</t>
    </r>
  </si>
  <si>
    <t xml:space="preserve">TF-29</t>
  </si>
  <si>
    <t xml:space="preserve">查询年度考核登记表</t>
  </si>
  <si>
    <t xml:space="preserve">查询本人指定年度登记表；尚未建档时返回当前身份组成的不落库空表。</t>
  </si>
  <si>
    <t xml:space="preserve">启动触发：启动触发
输入：考核年度
输出：考核年度
输出：姓名
输出：现单位
输出：现部门
输出：年度主要工作摘要
输出：年度考核等次
输出：登记状态
消息：消息</t>
  </si>
  <si>
    <t xml:space="preserve">E-15,E-18,E-21</t>
  </si>
  <si>
    <t xml:space="preserve">TF-30</t>
  </si>
  <si>
    <t xml:space="preserve">保存登记表草稿</t>
  </si>
  <si>
    <t xml:space="preserve">首次保存时固化当前员工快照，之后按版本更新年度主要工作摘要。</t>
  </si>
  <si>
    <t xml:space="preserve">启动触发：启动触发
输入：考核年度
输入：年度主要工作摘要
输入：员工编号
输入：姓名
输入：现单位
输入：现部门
消息：消息</t>
  </si>
  <si>
    <t xml:space="preserve">TF-31</t>
  </si>
  <si>
    <t xml:space="preserve">提交登记表</t>
  </si>
  <si>
    <t xml:space="preserve">校验摘要和草稿版本后提交，提交后登记表永久只读。</t>
  </si>
  <si>
    <t xml:space="preserve">TF-32</t>
  </si>
  <si>
    <r>
      <rPr>
        <sz val="11"/>
        <color theme="1"/>
        <rFont val="Noto Sans CJK SC"/>
        <family val="2"/>
      </rPr>
      <t xml:space="preserve">导出登记表 </t>
    </r>
    <r>
      <rPr>
        <sz val="11"/>
        <color theme="1"/>
        <rFont val="Calibri"/>
        <family val="2"/>
        <charset val="1"/>
      </rPr>
      <t xml:space="preserve">Word</t>
    </r>
  </si>
  <si>
    <r>
      <rPr>
        <sz val="11"/>
        <color theme="1"/>
        <rFont val="Noto Sans CJK SC"/>
        <family val="2"/>
      </rPr>
      <t xml:space="preserve">读取已提交登记表，替换客户固定 </t>
    </r>
    <r>
      <rPr>
        <sz val="11"/>
        <color theme="1"/>
        <rFont val="Calibri"/>
        <family val="2"/>
        <charset val="1"/>
      </rPr>
      <t xml:space="preserve">Word </t>
    </r>
    <r>
      <rPr>
        <sz val="11"/>
        <color theme="1"/>
        <rFont val="Noto Sans CJK SC"/>
        <family val="2"/>
      </rPr>
      <t xml:space="preserve">模板中的身份、摘要和等次标记。</t>
    </r>
  </si>
  <si>
    <t xml:space="preserve">启动触发：启动触发
输入：考核年度
输出：姓名
输出：现单位
输出：现部门
输出：年度主要工作摘要
输出：年度考核等次
输出：登记状态
消息：消息</t>
  </si>
  <si>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用户确认：登记表 </t>
    </r>
    <r>
      <rPr>
        <sz val="11"/>
        <color theme="1"/>
        <rFont val="Calibri"/>
        <family val="2"/>
        <charset val="1"/>
      </rPr>
      <t xml:space="preserve">Word </t>
    </r>
    <r>
      <rPr>
        <sz val="11"/>
        <color theme="1"/>
        <rFont val="Noto Sans CJK SC"/>
        <family val="2"/>
      </rPr>
      <t xml:space="preserve">导出独立计数。</t>
    </r>
  </si>
  <si>
    <t xml:space="preserve">TF-33</t>
  </si>
  <si>
    <t xml:space="preserve">匿名登录</t>
  </si>
  <si>
    <t xml:space="preserve">校验匿名凭证，建立独立评分会话，并返回获授权工作台初始化信息。</t>
  </si>
  <si>
    <t xml:space="preserve">启动触发：启动触发
输入：匿名账号
输入：密码
输出：账号类型
输出：被考核人姓名
输出：被考核部门
输出：被考核人职级
输出：任务状态
输出：草稿版本
输出：评分总分
输出：评分席位部门
输出：评分席位职级
输出：分数区间
输出：最少人数
输出：最多人数
输出：当前人数
消息：消息</t>
  </si>
  <si>
    <r>
      <rPr>
        <sz val="11"/>
        <color theme="1"/>
        <rFont val="Calibri"/>
        <family val="2"/>
        <charset val="1"/>
      </rPr>
      <t xml:space="preserve">DF-01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DF-09</t>
    </r>
  </si>
  <si>
    <t xml:space="preserve">E-12,E-18,E-20,E-21</t>
  </si>
  <si>
    <t xml:space="preserve">TF-34</t>
  </si>
  <si>
    <t xml:space="preserve">查询评分工作台与席位草稿</t>
  </si>
  <si>
    <t xml:space="preserve">恢复评分会话后读取席位任务、逐指标草稿，并按任务数计算三档配额边界。</t>
  </si>
  <si>
    <t xml:space="preserve">启动触发：启动触发
输入：评分席位
输出：账号类型
输出：被考核人姓名
输出：被考核部门
输出：被考核人职级
输出：任务状态
输出：草稿版本
输出：评分总分
输出：考核指标
输出：指标说明
输出：指标满分
输出：指标所得分
输出：分数区间
输出：最少人数
输出：最多人数
输出：当前人数
消息：消息</t>
  </si>
  <si>
    <t xml:space="preserve">E-12,E-13,E-18,E-20,E-21</t>
  </si>
  <si>
    <t xml:space="preserve">TF-35</t>
  </si>
  <si>
    <t xml:space="preserve">按比例分配</t>
  </si>
  <si>
    <t xml:space="preserve">按指标满分和最大余数法生成各叶子指标建议得分；本过程不写库。</t>
  </si>
  <si>
    <t xml:space="preserve">启动触发：启动触发
输入：被考核人姓名
输入：评分总分
输出：考核指标
输出：指标满分
输出：指标所得分
消息：消息</t>
  </si>
  <si>
    <r>
      <rPr>
        <sz val="11"/>
        <color theme="1"/>
        <rFont val="Calibri"/>
        <family val="2"/>
        <charset val="1"/>
      </rPr>
      <t xml:space="preserve">DF-06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DF-09</t>
    </r>
  </si>
  <si>
    <t xml:space="preserve">E-13,E-18,E-22</t>
  </si>
  <si>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用户确认：按不写库的分配计算 </t>
    </r>
    <r>
      <rPr>
        <sz val="11"/>
        <color theme="1"/>
        <rFont val="Calibri"/>
        <family val="2"/>
        <charset val="1"/>
      </rPr>
      <t xml:space="preserve">EO </t>
    </r>
    <r>
      <rPr>
        <sz val="11"/>
        <color theme="1"/>
        <rFont val="Noto Sans CJK SC"/>
        <family val="2"/>
      </rPr>
      <t xml:space="preserve">计数。</t>
    </r>
  </si>
  <si>
    <t xml:space="preserve">TF-36</t>
  </si>
  <si>
    <t xml:space="preserve">保存手填评分草稿</t>
  </si>
  <si>
    <t xml:space="preserve">按草稿版本保存完整指标分值并重算任务总分。</t>
  </si>
  <si>
    <t xml:space="preserve">启动触发：启动触发
输入：被考核人姓名
输入：考核指标
输入：指标所得分
输出：评分总分
消息：消息</t>
  </si>
  <si>
    <t xml:space="preserve">E-13,E-18,E-21</t>
  </si>
  <si>
    <t xml:space="preserve">TF-37</t>
  </si>
  <si>
    <t xml:space="preserve">最终提交评分</t>
  </si>
  <si>
    <t xml:space="preserve">统一提交账号全部授权席位；校验配额和同分后停用账号并撤销会话。</t>
  </si>
  <si>
    <t xml:space="preserve">启动触发：启动触发
输出：最终提交时间
输出：账号状态
消息：消息</t>
  </si>
  <si>
    <t xml:space="preserve">E-14,E-18,E-21</t>
  </si>
  <si>
    <t xml:space="preserve">角色</t>
  </si>
  <si>
    <t xml:space="preserve">来源路径或接口</t>
  </si>
  <si>
    <r>
      <rPr>
        <b val="true"/>
        <sz val="11"/>
        <color rgb="FFFFFFFF"/>
        <rFont val="Noto Sans CJK SC"/>
        <family val="2"/>
      </rPr>
      <t xml:space="preserve">版本</t>
    </r>
    <r>
      <rPr>
        <b val="true"/>
        <sz val="11"/>
        <color rgb="FFFFFFFF"/>
        <rFont val="Cambria"/>
        <family val="0"/>
        <charset val="1"/>
      </rPr>
      <t xml:space="preserve">/commit/</t>
    </r>
    <r>
      <rPr>
        <b val="true"/>
        <sz val="11"/>
        <color rgb="FFFFFFFF"/>
        <rFont val="Noto Sans CJK SC"/>
        <family val="2"/>
      </rPr>
      <t xml:space="preserve">时间</t>
    </r>
  </si>
  <si>
    <t xml:space="preserve">精确定位</t>
  </si>
  <si>
    <t xml:space="preserve">观察事实</t>
  </si>
  <si>
    <r>
      <rPr>
        <b val="true"/>
        <sz val="11"/>
        <color rgb="FFFFFFFF"/>
        <rFont val="Noto Sans CJK SC"/>
        <family val="2"/>
      </rPr>
      <t xml:space="preserve">支持的数据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事务编号</t>
    </r>
  </si>
  <si>
    <t xml:space="preserve">状态</t>
  </si>
  <si>
    <t xml:space="preserve">排除理由</t>
  </si>
  <si>
    <t xml:space="preserve">意图</t>
  </si>
  <si>
    <t xml:space="preserve">交接文档与本次启动确认</t>
  </si>
  <si>
    <t xml:space="preserve">2026-10-21</t>
  </si>
  <si>
    <t xml:space="preserve">员工年度考核新项目；管理端、实名员工端、匿名评分端；三个旧系统排除</t>
  </si>
  <si>
    <r>
      <rPr>
        <sz val="11"/>
        <color theme="1"/>
        <rFont val="Noto Sans CJK SC"/>
        <family val="2"/>
      </rPr>
      <t xml:space="preserve">计数对象为员工年度考核新项目，目标范围内用户功能按 </t>
    </r>
    <r>
      <rPr>
        <sz val="11"/>
        <color theme="1"/>
        <rFont val="Calibri"/>
        <family val="2"/>
        <charset val="1"/>
      </rPr>
      <t xml:space="preserve">ADD </t>
    </r>
    <r>
      <rPr>
        <sz val="11"/>
        <color theme="1"/>
        <rFont val="Noto Sans CJK SC"/>
        <family val="2"/>
      </rPr>
      <t xml:space="preserve">计数；数据割接、迁移和环境切换不进入功能点。</t>
    </r>
  </si>
  <si>
    <r>
      <rPr>
        <sz val="11"/>
        <color theme="1"/>
        <rFont val="Noto Sans CJK SC"/>
        <family val="2"/>
      </rPr>
      <t xml:space="preserve">计数范围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应用边界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用户</t>
    </r>
    <r>
      <rPr>
        <sz val="11"/>
        <color theme="1"/>
        <rFont val="Calibri"/>
        <family val="2"/>
        <charset val="1"/>
      </rPr>
      <t xml:space="preserve">,DF-01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DF-13,TF-01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TF-37</t>
    </r>
  </si>
  <si>
    <t xml:space="preserve">采用</t>
  </si>
  <si>
    <t xml:space="preserve">实现</t>
  </si>
  <si>
    <t xml:space="preserve">固定后端提交</t>
  </si>
  <si>
    <r>
      <rPr>
        <sz val="11"/>
        <color theme="1"/>
        <rFont val="Calibri"/>
        <family val="2"/>
        <charset val="1"/>
      </rPr>
      <t xml:space="preserve">git worktree detach HEAD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tracked diff exit=0</t>
    </r>
  </si>
  <si>
    <r>
      <rPr>
        <sz val="11"/>
        <color theme="1"/>
        <rFont val="Noto Sans CJK SC"/>
        <family val="2"/>
      </rPr>
      <t xml:space="preserve">全部后端证据取自 </t>
    </r>
    <r>
      <rPr>
        <sz val="11"/>
        <color theme="1"/>
        <rFont val="Calibri"/>
        <family val="2"/>
        <charset val="1"/>
      </rPr>
      <t xml:space="preserve">c761f4f529a80e2972436292f1aef35828fcf5a9</t>
    </r>
    <r>
      <rPr>
        <sz val="11"/>
        <color theme="1"/>
        <rFont val="Noto Sans CJK SC"/>
        <family val="2"/>
      </rPr>
      <t xml:space="preserve">；未采用当前分支后续提交。</t>
    </r>
  </si>
  <si>
    <r>
      <rPr>
        <sz val="11"/>
        <color theme="1"/>
        <rFont val="Noto Sans CJK SC"/>
        <family val="2"/>
      </rPr>
      <t xml:space="preserve">版本基线</t>
    </r>
    <r>
      <rPr>
        <sz val="11"/>
        <color theme="1"/>
        <rFont val="Calibri"/>
        <family val="2"/>
        <charset val="1"/>
      </rPr>
      <t xml:space="preserve">,DF-01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DF-13,TF-01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TF-37</t>
    </r>
  </si>
  <si>
    <t xml:space="preserve">固定前端提交</t>
  </si>
  <si>
    <r>
      <rPr>
        <sz val="11"/>
        <color theme="1"/>
        <rFont val="Calibri"/>
        <family val="2"/>
        <charset val="1"/>
      </rPr>
      <t xml:space="preserve">src/ tracked diff exit=0</t>
    </r>
    <r>
      <rPr>
        <sz val="11"/>
        <color theme="1"/>
        <rFont val="Noto Sans CJK SC"/>
        <family val="2"/>
      </rPr>
      <t xml:space="preserve">；未跟踪 </t>
    </r>
    <r>
      <rPr>
        <sz val="11"/>
        <color theme="1"/>
        <rFont val="Calibri"/>
        <family val="2"/>
        <charset val="1"/>
      </rPr>
      <t xml:space="preserve">dist.zip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distea/ </t>
    </r>
    <r>
      <rPr>
        <sz val="11"/>
        <color theme="1"/>
        <rFont val="Noto Sans CJK SC"/>
        <family val="2"/>
      </rPr>
      <t xml:space="preserve">排除</t>
    </r>
  </si>
  <si>
    <r>
      <rPr>
        <sz val="11"/>
        <color theme="1"/>
        <rFont val="Noto Sans CJK SC"/>
        <family val="2"/>
      </rPr>
      <t xml:space="preserve">全部前端证据取自 </t>
    </r>
    <r>
      <rPr>
        <sz val="11"/>
        <color theme="1"/>
        <rFont val="Calibri"/>
        <family val="2"/>
        <charset val="1"/>
      </rPr>
      <t xml:space="preserve">bbdb9f02580432a4fd9225e92e5351cf3ada3610</t>
    </r>
    <r>
      <rPr>
        <sz val="11"/>
        <color theme="1"/>
        <rFont val="Noto Sans CJK SC"/>
        <family val="2"/>
      </rPr>
      <t xml:space="preserve">；未跟踪构建产物不作为计数证据。</t>
    </r>
  </si>
  <si>
    <r>
      <rPr>
        <sz val="11"/>
        <color theme="1"/>
        <rFont val="Noto Sans CJK SC"/>
        <family val="2"/>
      </rPr>
      <t xml:space="preserve">版本基线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路由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用户动作</t>
    </r>
    <r>
      <rPr>
        <sz val="11"/>
        <color theme="1"/>
        <rFont val="Calibri"/>
        <family val="2"/>
        <charset val="1"/>
      </rPr>
      <t xml:space="preserve">,TF-01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TF-37</t>
    </r>
  </si>
  <si>
    <t xml:space="preserve">E-04</t>
  </si>
  <si>
    <t xml:space="preserve">规格</t>
  </si>
  <si>
    <t xml:space="preserve">cuc-ah-ucac-pso-hx-repository/doc/hx-assessment/CONTEXT.md</t>
  </si>
  <si>
    <r>
      <rPr>
        <sz val="11"/>
        <color theme="1"/>
        <rFont val="Noto Sans CJK SC"/>
        <family val="2"/>
      </rPr>
      <t xml:space="preserve">后端 </t>
    </r>
    <r>
      <rPr>
        <sz val="11"/>
        <color theme="1"/>
        <rFont val="Calibri"/>
        <family val="2"/>
        <charset val="1"/>
      </rPr>
      <t xml:space="preserve">c761f4f529a80e2972436292f1aef35828fcf5a9</t>
    </r>
  </si>
  <si>
    <t xml:space="preserve">访问边界；年度考核计划；匿名评分账号；评分会话；年度考核登记表；组织人员导入快照</t>
  </si>
  <si>
    <t xml:space="preserve">领域文档定义三类用户边界、计划与人员快照、匿名账号独立生命周期、登记表独立档案和用户可识别术语。</t>
  </si>
  <si>
    <r>
      <rPr>
        <sz val="11"/>
        <color theme="1"/>
        <rFont val="Calibri"/>
        <family val="2"/>
        <charset val="1"/>
      </rPr>
      <t xml:space="preserve">DF-01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DF-13,</t>
    </r>
    <r>
      <rPr>
        <sz val="11"/>
        <color theme="1"/>
        <rFont val="Noto Sans CJK SC"/>
        <family val="2"/>
      </rPr>
      <t xml:space="preserve">应用边界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用户</t>
    </r>
    <r>
      <rPr>
        <sz val="11"/>
        <color theme="1"/>
        <rFont val="Calibri"/>
        <family val="2"/>
        <charset val="1"/>
      </rPr>
      <t xml:space="preserve">,TF-01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TF-37</t>
    </r>
  </si>
  <si>
    <t xml:space="preserve">E-05</t>
  </si>
  <si>
    <t xml:space="preserve">cuc-ah-ucac-pso-hx-repository/hx_assessment/sql/assessment-v2/01-rebuild-schema.sql</t>
  </si>
  <si>
    <t xml:space="preserve">65,80,102,108,133,145,155,174,187,198,213,224,232,249,269,286,302,316,340,354,372,389,402,419,432,458</t>
  </si>
  <si>
    <r>
      <rPr>
        <sz val="11"/>
        <color theme="1"/>
        <rFont val="Calibri"/>
        <family val="2"/>
        <charset val="1"/>
      </rPr>
      <t xml:space="preserve">DDL </t>
    </r>
    <r>
      <rPr>
        <sz val="11"/>
        <color theme="1"/>
        <rFont val="Noto Sans CJK SC"/>
        <family val="2"/>
      </rPr>
      <t xml:space="preserve">给出模板、计划、人员部门任职、权重、主考核、分管、评分结构、匿名账号、任务、汇总、登记表及技术表边界。</t>
    </r>
  </si>
  <si>
    <r>
      <rPr>
        <sz val="11"/>
        <color theme="1"/>
        <rFont val="Calibri"/>
        <family val="2"/>
        <charset val="1"/>
      </rPr>
      <t xml:space="preserve">DF-01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DF-13,TF-01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TF-37</t>
    </r>
  </si>
  <si>
    <t xml:space="preserve">E-06</t>
  </si>
  <si>
    <r>
      <rPr>
        <sz val="11"/>
        <color theme="1"/>
        <rFont val="Calibri"/>
        <family val="2"/>
        <charset val="1"/>
      </rPr>
      <t xml:space="preserve">TemplateController.java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TemplateServiceImpl.java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hx-emp-assessment-view-repo/src/pages/template</t>
    </r>
  </si>
  <si>
    <r>
      <rPr>
        <sz val="11"/>
        <color theme="1"/>
        <rFont val="Noto Sans CJK SC"/>
        <family val="2"/>
      </rPr>
      <t xml:space="preserve">后端 </t>
    </r>
    <r>
      <rPr>
        <sz val="11"/>
        <color theme="1"/>
        <rFont val="Calibri"/>
        <family val="2"/>
        <charset val="1"/>
      </rPr>
      <t xml:space="preserve">c761f4f529a80e2972436292f1aef35828fcf5a9 / </t>
    </r>
    <r>
      <rPr>
        <sz val="11"/>
        <color theme="1"/>
        <rFont val="Noto Sans CJK SC"/>
        <family val="2"/>
      </rPr>
      <t xml:space="preserve">前端 </t>
    </r>
    <r>
      <rPr>
        <sz val="11"/>
        <color theme="1"/>
        <rFont val="Calibri"/>
        <family val="2"/>
        <charset val="1"/>
      </rPr>
      <t xml:space="preserve">bbdb9f02580432a4fd9225e92e5351cf3ada3610</t>
    </r>
  </si>
  <si>
    <r>
      <rPr>
        <sz val="11"/>
        <color theme="1"/>
        <rFont val="Calibri"/>
        <family val="2"/>
        <charset val="1"/>
      </rPr>
      <t xml:space="preserve">TemplateController.java:31,44,56,68,81,93,106,118,131,143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template/apis/index.ts:7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template/index.vue:169</t>
    </r>
  </si>
  <si>
    <t xml:space="preserve">模板具备新建、修改资料、配置指标、发布、停用、复制、删除和查询八个用户可识别过程。</t>
  </si>
  <si>
    <r>
      <rPr>
        <sz val="11"/>
        <color theme="1"/>
        <rFont val="Calibri"/>
        <family val="2"/>
        <charset val="1"/>
      </rPr>
      <t xml:space="preserve">DF-04,TF-01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TF-08</t>
    </r>
  </si>
  <si>
    <t xml:space="preserve">E-07</t>
  </si>
  <si>
    <t xml:space="preserve">PlanController.java</t>
  </si>
  <si>
    <t xml:space="preserve">45,62,74,86,97,124,140,171,182,191,201,214,226,241,254,266,278,290,302,315,327,342,381</t>
  </si>
  <si>
    <r>
      <rPr>
        <sz val="11"/>
        <color theme="1"/>
        <rFont val="Noto Sans CJK SC"/>
        <family val="2"/>
      </rPr>
      <t xml:space="preserve">计划控制器覆盖计划、人员、主考核、分管、结构、发布、凭证、生命周期、汇总、等次和核对表入口；管理端权限为 </t>
    </r>
    <r>
      <rPr>
        <sz val="11"/>
        <color theme="1"/>
        <rFont val="Calibri"/>
        <family val="2"/>
        <charset val="1"/>
      </rPr>
      <t xml:space="preserve">admin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ea-admin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</si>
  <si>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DF-01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DF-10,TF-09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TF-27</t>
    </r>
  </si>
  <si>
    <t xml:space="preserve">E-08</t>
  </si>
  <si>
    <r>
      <rPr>
        <sz val="11"/>
        <color theme="1"/>
        <rFont val="Calibri"/>
        <family val="2"/>
        <charset val="1"/>
      </rPr>
      <t xml:space="preserve">PlanServiceImpl.java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PlanWorkbenchQueryService.java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PlanRosterWorkbook.java</t>
    </r>
  </si>
  <si>
    <r>
      <rPr>
        <sz val="11"/>
        <color theme="1"/>
        <rFont val="Calibri"/>
        <family val="2"/>
        <charset val="1"/>
      </rPr>
      <t xml:space="preserve">PlanServiceImpl.java:130,275,726,751,773,794,800,852,1085,1092,1145,1182,1196,1284,1312,1346,1612,1627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PlanWorkbenchQueryService.java:34,77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PlanRosterWorkbook.java:24</t>
    </r>
  </si>
  <si>
    <t xml:space="preserve">服务实现人员导入确认、计划维护、结构重建、发布重置、终止完成、汇总查询、等次导入和主考核分管核对表生成。</t>
  </si>
  <si>
    <t xml:space="preserve">E-09</t>
  </si>
  <si>
    <r>
      <rPr>
        <sz val="11"/>
        <color theme="1"/>
        <rFont val="Calibri"/>
        <family val="2"/>
        <charset val="1"/>
      </rPr>
      <t xml:space="preserve">RatingPlanCompilerImpl.java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RatingPlanCompilerMapper.xml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PlanCompletionMapper.xml</t>
    </r>
  </si>
  <si>
    <r>
      <rPr>
        <sz val="11"/>
        <color theme="1"/>
        <rFont val="Calibri"/>
        <family val="2"/>
        <charset val="1"/>
      </rPr>
      <t xml:space="preserve">RatingPlanCompilerImpl.java:84,92,124,175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PlanCompletionMapper.xml:101,111,120-200</t>
    </r>
  </si>
  <si>
    <t xml:space="preserve">编译器由人员、权重、主考核、名单和分管推导被考核人、评分组、席位、关系、账号与任务；完成计划持久化评分汇总。</t>
  </si>
  <si>
    <r>
      <rPr>
        <sz val="11"/>
        <color theme="1"/>
        <rFont val="Calibri"/>
        <family val="2"/>
        <charset val="1"/>
      </rPr>
      <t xml:space="preserve">DF-05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DF-10,TF-10,TF-14,TF-17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TF-19,TF-22,TF-25</t>
    </r>
  </si>
  <si>
    <t xml:space="preserve">E-10</t>
  </si>
  <si>
    <r>
      <rPr>
        <sz val="11"/>
        <color theme="1"/>
        <rFont val="Calibri"/>
        <family val="2"/>
        <charset val="1"/>
      </rPr>
      <t xml:space="preserve">PlanPublicationMapper.xml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AnonymousCredentialRow.java</t>
    </r>
  </si>
  <si>
    <r>
      <rPr>
        <sz val="11"/>
        <color theme="1"/>
        <rFont val="Calibri"/>
        <family val="2"/>
        <charset val="1"/>
      </rPr>
      <t xml:space="preserve">PlanPublicationMapper.xml:48,57,99,113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AnonymousCredentialRow.java:10-58</t>
    </r>
  </si>
  <si>
    <t xml:space="preserve">发布激活账号并创建任务；凭证行包含账号、初始密码、类型、发放对象、部门、职级、应评总监、份数和任务数。</t>
  </si>
  <si>
    <r>
      <rPr>
        <sz val="11"/>
        <color theme="1"/>
        <rFont val="Calibri"/>
        <family val="2"/>
        <charset val="1"/>
      </rPr>
      <t xml:space="preserve">DF-07,DF-09,TF-19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TF-22</t>
    </r>
  </si>
  <si>
    <t xml:space="preserve">E-11</t>
  </si>
  <si>
    <r>
      <rPr>
        <sz val="11"/>
        <color theme="1"/>
        <rFont val="Calibri"/>
        <family val="2"/>
        <charset val="1"/>
      </rPr>
      <t xml:space="preserve">PlanServiceImpl.java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PlanCompletionMapper.xml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GradeFillExportRow.java</t>
    </r>
  </si>
  <si>
    <r>
      <rPr>
        <sz val="11"/>
        <color theme="1"/>
        <rFont val="Calibri"/>
        <family val="2"/>
        <charset val="1"/>
      </rPr>
      <t xml:space="preserve">PlanServiceImpl.java:1284,1312,1346,1408,1612,1627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PlanCompletionMapper.xml:101,111,120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GradeFillExportRow.java:10</t>
    </r>
  </si>
  <si>
    <t xml:space="preserve">评分进度、汇总、明细、完成固化和等次导入均有实现；明细读取时重算总监员工组组成项；等次填写表复用评分汇总数据。</t>
  </si>
  <si>
    <r>
      <rPr>
        <sz val="11"/>
        <color theme="1"/>
        <rFont val="Calibri"/>
        <family val="2"/>
        <charset val="1"/>
      </rPr>
      <t xml:space="preserve">DF-10,TF-23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TF-26</t>
    </r>
  </si>
  <si>
    <t xml:space="preserve">E-12</t>
  </si>
  <si>
    <r>
      <rPr>
        <sz val="11"/>
        <color theme="1"/>
        <rFont val="Calibri"/>
        <family val="2"/>
        <charset val="1"/>
      </rPr>
      <t xml:space="preserve">RatingSessionController.java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RatingSessionServiceImpl.java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RatingSessionMapper.xml</t>
    </r>
  </si>
  <si>
    <r>
      <rPr>
        <sz val="11"/>
        <color theme="1"/>
        <rFont val="Calibri"/>
        <family val="2"/>
        <charset val="1"/>
      </rPr>
      <t xml:space="preserve">RatingSessionController.java:39,60,79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RatingSessionServiceImpl.java:59,119,141,216,271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RatingSessionMapper.xml:52,111</t>
    </r>
  </si>
  <si>
    <t xml:space="preserve">匿名账号兑换独立会话；登录响应包含工作台初始化；会话恢复、退出和权限均以计划、账号、席位为边。</t>
  </si>
  <si>
    <t xml:space="preserve">DF-07,TF-33,TF-34</t>
  </si>
  <si>
    <t xml:space="preserve">E-13</t>
  </si>
  <si>
    <r>
      <rPr>
        <sz val="11"/>
        <color theme="1"/>
        <rFont val="Calibri"/>
        <family val="2"/>
        <charset val="1"/>
      </rPr>
      <t xml:space="preserve">RatingDraftController.java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RatingDraftServiceImpl.java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hx-emp-assessment-view-repo/src/pages/rating</t>
    </r>
  </si>
  <si>
    <r>
      <rPr>
        <sz val="11"/>
        <color theme="1"/>
        <rFont val="Calibri"/>
        <family val="2"/>
        <charset val="1"/>
      </rPr>
      <t xml:space="preserve">RatingDraftController.java:42,56,72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RatingDraftServiceImpl.java:49,103,110,127,180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rating/composables/use-seat-matrix.ts:353,389</t>
    </r>
  </si>
  <si>
    <t xml:space="preserve">席位草稿与单任务草稿读取同一评分矩阵；分配使用最大余数法且不写库；手填草稿独立保存；前端在分配后自动保存。</t>
  </si>
  <si>
    <r>
      <rPr>
        <sz val="11"/>
        <color theme="1"/>
        <rFont val="Calibri"/>
        <family val="2"/>
        <charset val="1"/>
      </rPr>
      <t xml:space="preserve">DF-09,TF-34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TF-36</t>
    </r>
  </si>
  <si>
    <t xml:space="preserve">E-14</t>
  </si>
  <si>
    <r>
      <rPr>
        <sz val="11"/>
        <color theme="1"/>
        <rFont val="Calibri"/>
        <family val="2"/>
        <charset val="1"/>
      </rPr>
      <t xml:space="preserve">RatingSubmissionController.java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RatingSubmissionServiceImpl.java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RatingSubmissionMapper.xml</t>
    </r>
  </si>
  <si>
    <r>
      <rPr>
        <sz val="11"/>
        <color theme="1"/>
        <rFont val="Calibri"/>
        <family val="2"/>
        <charset val="1"/>
      </rPr>
      <t xml:space="preserve">RatingSubmissionController.java:34,50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RatingSubmissionServiceImpl.java:51,58,69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RatingSubmissionMapper.xml:92,103</t>
    </r>
  </si>
  <si>
    <t xml:space="preserve">员工和领导两个入口共用账号级最终提交实现；提交任务、账号状态和会话撤销构成一个一致状态变化。</t>
  </si>
  <si>
    <t xml:space="preserve">E-15</t>
  </si>
  <si>
    <r>
      <rPr>
        <sz val="11"/>
        <color theme="1"/>
        <rFont val="Calibri"/>
        <family val="2"/>
        <charset val="1"/>
      </rPr>
      <t xml:space="preserve">EmployeeRegistrationController.java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EmployeeRegistrationServiceImpl.java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EmployeeRegistrationExportService.java</t>
    </r>
  </si>
  <si>
    <r>
      <rPr>
        <sz val="11"/>
        <color theme="1"/>
        <rFont val="Calibri"/>
        <family val="2"/>
        <charset val="1"/>
      </rPr>
      <t xml:space="preserve">EmployeeRegistrationController.java:28,41,52,64,77,89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EmployeeRegistrationServiceImpl.java:52,74,84,109,278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EmployeeRegistrationExportService.java:47</t>
    </r>
  </si>
  <si>
    <r>
      <rPr>
        <sz val="11"/>
        <color theme="1"/>
        <rFont val="Noto Sans CJK SC"/>
        <family val="2"/>
      </rPr>
      <t xml:space="preserve">实名员工可查询年度、查询本人登记表、保存草稿、提交和导出 </t>
    </r>
    <r>
      <rPr>
        <sz val="11"/>
        <color theme="1"/>
        <rFont val="Calibri"/>
        <family val="2"/>
        <charset val="1"/>
      </rPr>
      <t xml:space="preserve">Word</t>
    </r>
    <r>
      <rPr>
        <sz val="11"/>
        <color theme="1"/>
        <rFont val="Noto Sans CJK SC"/>
        <family val="2"/>
      </rPr>
      <t xml:space="preserve">；服务端按当前员工限定本人数据。</t>
    </r>
  </si>
  <si>
    <r>
      <rPr>
        <sz val="11"/>
        <color theme="1"/>
        <rFont val="Calibri"/>
        <family val="2"/>
        <charset val="1"/>
      </rPr>
      <t xml:space="preserve">DF-11,TF-28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TF-32</t>
    </r>
  </si>
  <si>
    <t xml:space="preserve">E-16</t>
  </si>
  <si>
    <r>
      <rPr>
        <sz val="11"/>
        <color theme="1"/>
        <rFont val="Calibri"/>
        <family val="2"/>
        <charset val="1"/>
      </rPr>
      <t xml:space="preserve">CurrentEmployeeProviderImpl.java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PlanPersonnelImportMapper.xml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PlanMapper.xml</t>
    </r>
  </si>
  <si>
    <r>
      <rPr>
        <sz val="11"/>
        <color theme="1"/>
        <rFont val="Calibri"/>
        <family val="2"/>
        <charset val="1"/>
      </rPr>
      <t xml:space="preserve">CurrentEmployeeProviderImpl.java:25,30,34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PlanPersonnelImportMapper.xml:6-12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PlanMapper.xml:132-138</t>
    </r>
  </si>
  <si>
    <t xml:space="preserve">本应用读取主系统人员与部门；员工身份、姓名、现单位、现部门、人员状态和计划发起人来自主系统。</t>
  </si>
  <si>
    <r>
      <rPr>
        <sz val="11"/>
        <color theme="1"/>
        <rFont val="Calibri"/>
        <family val="2"/>
        <charset val="1"/>
      </rPr>
      <t xml:space="preserve">DF-12,DF-13,TF-12,TF-27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TF-32,TF-37</t>
    </r>
  </si>
  <si>
    <t xml:space="preserve">E-17</t>
  </si>
  <si>
    <r>
      <rPr>
        <sz val="11"/>
        <color theme="1"/>
        <rFont val="Calibri"/>
        <family val="2"/>
        <charset val="1"/>
      </rPr>
      <t xml:space="preserve">hx-emp-assessment-view-repo/src/router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src/pinia/stores/permission.ts</t>
    </r>
  </si>
  <si>
    <r>
      <rPr>
        <sz val="11"/>
        <color theme="1"/>
        <rFont val="Calibri"/>
        <family val="2"/>
        <charset val="1"/>
      </rPr>
      <t xml:space="preserve">router/index.ts:49,67,200,222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router/guard.ts:73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router/whitelist.ts:4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permission.ts:7</t>
    </r>
  </si>
  <si>
    <r>
      <rPr>
        <sz val="11"/>
        <color theme="1"/>
        <rFont val="Noto Sans CJK SC"/>
        <family val="2"/>
      </rPr>
      <t xml:space="preserve">计划与模板路由限 </t>
    </r>
    <r>
      <rPr>
        <sz val="11"/>
        <color theme="1"/>
        <rFont val="Calibri"/>
        <family val="2"/>
        <charset val="1"/>
      </rPr>
      <t xml:space="preserve">admin/ea-admin</t>
    </r>
    <r>
      <rPr>
        <sz val="11"/>
        <color theme="1"/>
        <rFont val="Noto Sans CJK SC"/>
        <family val="2"/>
      </rPr>
      <t xml:space="preserve">；登记表路由对全部实名登录员工开放；匿名评分独立于实名会话。</t>
    </r>
  </si>
  <si>
    <r>
      <rPr>
        <sz val="11"/>
        <color theme="1"/>
        <rFont val="Noto Sans CJK SC"/>
        <family val="2"/>
      </rPr>
      <t xml:space="preserve">用户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应用边界</t>
    </r>
    <r>
      <rPr>
        <sz val="11"/>
        <color theme="1"/>
        <rFont val="Calibri"/>
        <family val="2"/>
        <charset val="1"/>
      </rPr>
      <t xml:space="preserve">,TF-01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TF-37</t>
    </r>
  </si>
  <si>
    <t xml:space="preserve">E-18</t>
  </si>
  <si>
    <t xml:space="preserve">hx-emp-assessment-view-repo/src/pages</t>
  </si>
  <si>
    <r>
      <rPr>
        <sz val="11"/>
        <color theme="1"/>
        <rFont val="Calibri"/>
        <family val="2"/>
        <charset val="1"/>
      </rPr>
      <t xml:space="preserve">plan/apis/index.ts:7,57,82,95,105,124,129,139,148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template/apis/index.ts:7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employee-registration/apis/index.ts:4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rating/apis/index.ts:13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plan/console/overview.vue:189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plan/console/roster.vue:207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plan/console/results.vue:140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employee-registration/index.vue:89,128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rating/index.vue:141</t>
    </r>
  </si>
  <si>
    <r>
      <rPr>
        <sz val="11"/>
        <color theme="1"/>
        <rFont val="Noto Sans CJK SC"/>
        <family val="2"/>
      </rPr>
      <t xml:space="preserve">前端提供计划、模板、人员、结构、发布、汇总、等次、核对表、登记表和匿名评分用户入口，并明确核对表、等次表、</t>
    </r>
    <r>
      <rPr>
        <sz val="11"/>
        <color theme="1"/>
        <rFont val="Calibri"/>
        <family val="2"/>
        <charset val="1"/>
      </rPr>
      <t xml:space="preserve">Word</t>
    </r>
    <r>
      <rPr>
        <sz val="11"/>
        <color theme="1"/>
        <rFont val="Noto Sans CJK SC"/>
        <family val="2"/>
      </rPr>
      <t xml:space="preserve">、凭证等下载动作。</t>
    </r>
  </si>
  <si>
    <r>
      <rPr>
        <sz val="11"/>
        <color theme="1"/>
        <rFont val="Calibri"/>
        <family val="2"/>
        <charset val="1"/>
      </rPr>
      <t xml:space="preserve">TF-01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TF-37</t>
    </r>
  </si>
  <si>
    <t xml:space="preserve">验证</t>
  </si>
  <si>
    <r>
      <rPr>
        <sz val="11"/>
        <color theme="1"/>
        <rFont val="Noto Sans CJK SC"/>
        <family val="2"/>
      </rPr>
      <t xml:space="preserve">旧版 </t>
    </r>
    <r>
      <rPr>
        <sz val="11"/>
        <color theme="1"/>
        <rFont val="Calibri"/>
        <family val="2"/>
        <charset val="1"/>
      </rPr>
      <t xml:space="preserve">doc/hx-assessment/NESMA</t>
    </r>
    <r>
      <rPr>
        <sz val="11"/>
        <color theme="1"/>
        <rFont val="Noto Sans CJK SC"/>
        <family val="2"/>
      </rPr>
      <t xml:space="preserve">估算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员工年度考核</t>
    </r>
    <r>
      <rPr>
        <sz val="11"/>
        <color theme="1"/>
        <rFont val="Calibri"/>
        <family val="2"/>
        <charset val="1"/>
      </rPr>
      <t xml:space="preserve">-v3-new/</t>
    </r>
    <r>
      <rPr>
        <sz val="11"/>
        <color theme="1"/>
        <rFont val="Noto Sans CJK SC"/>
        <family val="2"/>
      </rPr>
      <t xml:space="preserve">功能点计数证据</t>
    </r>
    <r>
      <rPr>
        <sz val="11"/>
        <color theme="1"/>
        <rFont val="Calibri"/>
        <family val="2"/>
        <charset val="1"/>
      </rPr>
      <t xml:space="preserve">.xlsx</t>
    </r>
  </si>
  <si>
    <r>
      <rPr>
        <sz val="11"/>
        <color theme="1"/>
        <rFont val="Noto Sans CJK SC"/>
        <family val="2"/>
      </rPr>
      <t xml:space="preserve">后端 </t>
    </r>
    <r>
      <rPr>
        <sz val="11"/>
        <color theme="1"/>
        <rFont val="Calibri"/>
        <family val="2"/>
        <charset val="1"/>
      </rPr>
      <t xml:space="preserve">c761f4f529a80e2972436292f1aef35828fcf5a9 / </t>
    </r>
    <r>
      <rPr>
        <sz val="11"/>
        <color theme="1"/>
        <rFont val="Noto Sans CJK SC"/>
        <family val="2"/>
      </rPr>
      <t xml:space="preserve">前端 </t>
    </r>
    <r>
      <rPr>
        <sz val="11"/>
        <color theme="1"/>
        <rFont val="Calibri"/>
        <family val="2"/>
        <charset val="1"/>
      </rPr>
      <t xml:space="preserve">bbdb9f02580432a4fd9225e92e5351cf3ada3610</t>
    </r>
    <r>
      <rPr>
        <sz val="11"/>
        <color theme="1"/>
        <rFont val="Noto Sans CJK SC"/>
        <family val="2"/>
      </rPr>
      <t xml:space="preserve">（校准材料）</t>
    </r>
  </si>
  <si>
    <r>
      <rPr>
        <sz val="11"/>
        <color theme="1"/>
        <rFont val="Noto Sans CJK SC"/>
        <family val="2"/>
      </rPr>
      <t xml:space="preserve">数据功能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行；事务功能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行；旧机械合计 </t>
    </r>
    <r>
      <rPr>
        <sz val="11"/>
        <color theme="1"/>
        <rFont val="Calibri"/>
        <family val="2"/>
        <charset val="1"/>
      </rPr>
      <t xml:space="preserve">233 FP</t>
    </r>
    <r>
      <rPr>
        <sz val="11"/>
        <color theme="1"/>
        <rFont val="Noto Sans CJK SC"/>
        <family val="2"/>
      </rPr>
      <t xml:space="preserve">（数据 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、事务 </t>
    </r>
    <r>
      <rPr>
        <sz val="11"/>
        <color theme="1"/>
        <rFont val="Calibri"/>
        <family val="2"/>
        <charset val="1"/>
      </rPr>
      <t xml:space="preserve">153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</si>
  <si>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旧版全部为 </t>
    </r>
    <r>
      <rPr>
        <sz val="11"/>
        <color theme="1"/>
        <rFont val="Calibri"/>
        <family val="2"/>
        <charset val="1"/>
      </rPr>
      <t xml:space="preserve">ADD</t>
    </r>
    <r>
      <rPr>
        <sz val="11"/>
        <color theme="1"/>
        <rFont val="Noto Sans CJK SC"/>
        <family val="2"/>
      </rPr>
      <t xml:space="preserve">，但正式总数被阻断；旧版存在账号并入评分结构、若干查询 </t>
    </r>
    <r>
      <rPr>
        <sz val="11"/>
        <color theme="1"/>
        <rFont val="Calibri"/>
        <family val="2"/>
        <charset val="1"/>
      </rPr>
      <t xml:space="preserve">FTR </t>
    </r>
    <r>
      <rPr>
        <sz val="11"/>
        <color theme="1"/>
        <rFont val="Noto Sans CJK SC"/>
        <family val="2"/>
      </rPr>
      <t xml:space="preserve">少列、登记表草稿与提交复杂度公式错误、漏核对表和 </t>
    </r>
    <r>
      <rPr>
        <sz val="11"/>
        <color theme="1"/>
        <rFont val="Calibri"/>
        <family val="2"/>
        <charset val="1"/>
      </rPr>
      <t xml:space="preserve">Word </t>
    </r>
    <r>
      <rPr>
        <sz val="11"/>
        <color theme="1"/>
        <rFont val="Noto Sans CJK SC"/>
        <family val="2"/>
      </rPr>
      <t xml:space="preserve">输出等问题。</t>
    </r>
  </si>
  <si>
    <r>
      <rPr>
        <sz val="11"/>
        <color theme="1"/>
        <rFont val="Noto Sans CJK SC"/>
        <family val="2"/>
      </rPr>
      <t xml:space="preserve">旧版差异</t>
    </r>
    <r>
      <rPr>
        <sz val="11"/>
        <color theme="1"/>
        <rFont val="Calibri"/>
        <family val="2"/>
        <charset val="1"/>
      </rPr>
      <t xml:space="preserve">,DF-07,TF-12,TF-16,TF-27,TF-30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TF-35</t>
    </r>
  </si>
  <si>
    <t xml:space="preserve">E-20</t>
  </si>
  <si>
    <r>
      <rPr>
        <sz val="11"/>
        <color theme="1"/>
        <rFont val="Calibri"/>
        <family val="2"/>
        <charset val="1"/>
      </rPr>
      <t xml:space="preserve">doc/hx-assessment/adr/0001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0016</t>
    </r>
  </si>
  <si>
    <r>
      <rPr>
        <sz val="11"/>
        <color theme="1"/>
        <rFont val="Calibri"/>
        <family val="2"/>
        <charset val="1"/>
      </rPr>
      <t xml:space="preserve">ADR-0001 </t>
    </r>
    <r>
      <rPr>
        <sz val="11"/>
        <color theme="1"/>
        <rFont val="Noto Sans CJK SC"/>
        <family val="2"/>
      </rPr>
      <t xml:space="preserve">账号与授权；</t>
    </r>
    <r>
      <rPr>
        <sz val="11"/>
        <color theme="1"/>
        <rFont val="Calibri"/>
        <family val="2"/>
        <charset val="1"/>
      </rPr>
      <t xml:space="preserve">ADR-0004 </t>
    </r>
    <r>
      <rPr>
        <sz val="11"/>
        <color theme="1"/>
        <rFont val="Noto Sans CJK SC"/>
        <family val="2"/>
      </rPr>
      <t xml:space="preserve">发布冻结；</t>
    </r>
    <r>
      <rPr>
        <sz val="11"/>
        <color theme="1"/>
        <rFont val="Calibri"/>
        <family val="2"/>
        <charset val="1"/>
      </rPr>
      <t xml:space="preserve">ADR-0013 </t>
    </r>
    <r>
      <rPr>
        <sz val="11"/>
        <color theme="1"/>
        <rFont val="Noto Sans CJK SC"/>
        <family val="2"/>
      </rPr>
      <t xml:space="preserve">导入权威；</t>
    </r>
    <r>
      <rPr>
        <sz val="11"/>
        <color theme="1"/>
        <rFont val="Calibri"/>
        <family val="2"/>
        <charset val="1"/>
      </rPr>
      <t xml:space="preserve">ADR-0014/0016 </t>
    </r>
    <r>
      <rPr>
        <sz val="11"/>
        <color theme="1"/>
        <rFont val="Noto Sans CJK SC"/>
        <family val="2"/>
      </rPr>
      <t xml:space="preserve">主考核与分管</t>
    </r>
  </si>
  <si>
    <t xml:space="preserve">匿名账号具有独立认证和生命周期；评分结构与账号授权分离；发布冻结结构；人员、主考核和范围由导入文件配置。</t>
  </si>
  <si>
    <r>
      <rPr>
        <sz val="11"/>
        <color theme="1"/>
        <rFont val="Calibri"/>
        <family val="2"/>
        <charset val="1"/>
      </rPr>
      <t xml:space="preserve">DF-06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DF-08,TF-10,TF-14,TF-16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TF-22,TF-33,TF-34</t>
    </r>
  </si>
  <si>
    <t xml:space="preserve">E-21</t>
  </si>
  <si>
    <r>
      <rPr>
        <sz val="11"/>
        <color theme="1"/>
        <rFont val="Calibri"/>
        <family val="2"/>
        <charset val="1"/>
      </rPr>
      <t xml:space="preserve">doc/hx-assessment/api-tables/README.md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SCHEMA.md</t>
    </r>
    <r>
      <rPr>
        <sz val="11"/>
        <color theme="1"/>
        <rFont val="Noto Sans CJK SC"/>
        <family val="2"/>
      </rPr>
      <t xml:space="preserve">；各资源 </t>
    </r>
    <r>
      <rPr>
        <sz val="11"/>
        <color theme="1"/>
        <rFont val="Calibri"/>
        <family val="2"/>
        <charset val="1"/>
      </rPr>
      <t xml:space="preserve">YAML</t>
    </r>
  </si>
  <si>
    <r>
      <rPr>
        <sz val="11"/>
        <color theme="1"/>
        <rFont val="Noto Sans CJK SC"/>
        <family val="2"/>
      </rPr>
      <t xml:space="preserve">接口成功信封、鉴权、字段和调用规则；</t>
    </r>
    <r>
      <rPr>
        <sz val="11"/>
        <color theme="1"/>
        <rFont val="Calibri"/>
        <family val="2"/>
        <charset val="1"/>
      </rPr>
      <t xml:space="preserve">plan/readiness.yaml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rating/*.yaml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registration/*.yaml</t>
    </r>
  </si>
  <si>
    <r>
      <rPr>
        <sz val="11"/>
        <color theme="1"/>
        <rFont val="Noto Sans CJK SC"/>
        <family val="2"/>
      </rPr>
      <t xml:space="preserve">接口编辑面与控制器指针、</t>
    </r>
    <r>
      <rPr>
        <sz val="11"/>
        <color theme="1"/>
        <rFont val="Calibri"/>
        <family val="2"/>
        <charset val="1"/>
      </rPr>
      <t xml:space="preserve">DTO/VO</t>
    </r>
    <r>
      <rPr>
        <sz val="11"/>
        <color theme="1"/>
        <rFont val="Noto Sans CJK SC"/>
        <family val="2"/>
      </rPr>
      <t xml:space="preserve">、鉴权、响应信封和业务字段保持可追溯。</t>
    </r>
  </si>
  <si>
    <r>
      <rPr>
        <sz val="11"/>
        <color theme="1"/>
        <rFont val="Calibri"/>
        <family val="2"/>
        <charset val="1"/>
      </rPr>
      <t xml:space="preserve">TF-13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TF-37</t>
    </r>
  </si>
  <si>
    <t xml:space="preserve">E-22</t>
  </si>
  <si>
    <t xml:space="preserve">用户确认</t>
  </si>
  <si>
    <t xml:space="preserve">本次计数判别答复</t>
  </si>
  <si>
    <r>
      <rPr>
        <sz val="11"/>
        <color theme="1"/>
        <rFont val="Noto Sans CJK SC"/>
        <family val="2"/>
      </rPr>
      <t xml:space="preserve">用户确认匿名账号独立 </t>
    </r>
    <r>
      <rPr>
        <sz val="11"/>
        <color theme="1"/>
        <rFont val="Calibri"/>
        <family val="2"/>
        <charset val="1"/>
      </rPr>
      <t xml:space="preserve">ILF</t>
    </r>
    <r>
      <rPr>
        <sz val="11"/>
        <color theme="1"/>
        <rFont val="Noto Sans CJK SC"/>
        <family val="2"/>
      </rPr>
      <t xml:space="preserve">；发布就绪不单列；主考核核对表与 </t>
    </r>
    <r>
      <rPr>
        <sz val="11"/>
        <color theme="1"/>
        <rFont val="Calibri"/>
        <family val="2"/>
        <charset val="1"/>
      </rPr>
      <t xml:space="preserve">Word </t>
    </r>
    <r>
      <rPr>
        <sz val="11"/>
        <color theme="1"/>
        <rFont val="Noto Sans CJK SC"/>
        <family val="2"/>
      </rPr>
      <t xml:space="preserve">导出独立；等次填写表不单列；按比例分配计 </t>
    </r>
    <r>
      <rPr>
        <sz val="11"/>
        <color theme="1"/>
        <rFont val="Calibri"/>
        <family val="2"/>
        <charset val="1"/>
      </rPr>
      <t xml:space="preserve">EO</t>
    </r>
    <r>
      <rPr>
        <sz val="11"/>
        <color theme="1"/>
        <rFont val="Noto Sans CJK SC"/>
        <family val="2"/>
      </rPr>
      <t xml:space="preserve">；可选年度计 </t>
    </r>
    <r>
      <rPr>
        <sz val="11"/>
        <color theme="1"/>
        <rFont val="Calibri"/>
        <family val="2"/>
        <charset val="1"/>
      </rPr>
      <t xml:space="preserve">4 FP</t>
    </r>
    <r>
      <rPr>
        <sz val="11"/>
        <color theme="1"/>
        <rFont val="Noto Sans CJK SC"/>
        <family val="2"/>
      </rPr>
      <t xml:space="preserve">；退出评分按技术动作排除。</t>
    </r>
  </si>
  <si>
    <t xml:space="preserve">DF-07,TF-27,TF-28,TF-32,TF-35</t>
  </si>
  <si>
    <t xml:space="preserve">E-23</t>
  </si>
  <si>
    <r>
      <rPr>
        <sz val="11"/>
        <color theme="1"/>
        <rFont val="Calibri"/>
        <family val="2"/>
        <charset val="1"/>
      </rPr>
      <t xml:space="preserve">PlanController.java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RatingPlanCompilerImpl.java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hx-emp-assessment-view-repo/src/pages/plan/console</t>
    </r>
  </si>
  <si>
    <r>
      <rPr>
        <sz val="11"/>
        <color theme="1"/>
        <rFont val="Calibri"/>
        <family val="2"/>
        <charset val="1"/>
      </rPr>
      <t xml:space="preserve">PlanController.java:214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RatingPlanCompilerImpl.java:124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overview.vue:128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structure.vue:34</t>
    </r>
  </si>
  <si>
    <t xml:space="preserve">发布就绪核对是动态派生查询，并作为发布门禁和结构核对支撑使用。</t>
  </si>
  <si>
    <t xml:space="preserve">已排除：独立发布就绪查询</t>
  </si>
  <si>
    <t xml:space="preserve">排除</t>
  </si>
  <si>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用户确认不单列；作为发布门禁和结构核对的支撑校验，不增加事务功能。</t>
    </r>
  </si>
  <si>
    <t xml:space="preserve">E-24</t>
  </si>
  <si>
    <r>
      <rPr>
        <sz val="11"/>
        <color theme="1"/>
        <rFont val="Calibri"/>
        <family val="2"/>
        <charset val="1"/>
      </rPr>
      <t xml:space="preserve">PlanController.java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PlanServiceImpl.java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GradeFillExportRow.java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results.vue</t>
    </r>
  </si>
  <si>
    <r>
      <rPr>
        <sz val="11"/>
        <color theme="1"/>
        <rFont val="Calibri"/>
        <family val="2"/>
        <charset val="1"/>
      </rPr>
      <t xml:space="preserve">PlanController.java:327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PlanServiceImpl.java:1612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GradeFillExportRow.java:10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results.vue:140</t>
    </r>
  </si>
  <si>
    <r>
      <rPr>
        <sz val="11"/>
        <color theme="1"/>
        <rFont val="Noto Sans CJK SC"/>
        <family val="2"/>
      </rPr>
      <t xml:space="preserve">等次填写表导出使用评分汇总数据并输出可回填 </t>
    </r>
    <r>
      <rPr>
        <sz val="11"/>
        <color theme="1"/>
        <rFont val="Calibri"/>
        <family val="2"/>
        <charset val="1"/>
      </rPr>
      <t xml:space="preserve">Excel</t>
    </r>
    <r>
      <rPr>
        <sz val="11"/>
        <color theme="1"/>
        <rFont val="Noto Sans CJK SC"/>
        <family val="2"/>
      </rPr>
      <t xml:space="preserve">。</t>
    </r>
  </si>
  <si>
    <t xml:space="preserve">已排除：独立等次填写表导出</t>
  </si>
  <si>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用户确认不单列；归入评分汇总查询及其后续等次导入流程。</t>
    </r>
  </si>
  <si>
    <t xml:space="preserve">E-25</t>
  </si>
  <si>
    <r>
      <rPr>
        <sz val="11"/>
        <color theme="1"/>
        <rFont val="Calibri"/>
        <family val="2"/>
        <charset val="1"/>
      </rPr>
      <t xml:space="preserve">RatingSessionController.java:79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RatingSessionServiceImpl.java:141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RatingSessionMapper.xml:52-65</t>
    </r>
  </si>
  <si>
    <t xml:space="preserve">退出评分撤销技术会话；服务端读取账号、计划并更新会话状态。</t>
  </si>
  <si>
    <t xml:space="preserve">已排除：退出评分</t>
  </si>
  <si>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用户确认按技术动作处理，不计事务功能。</t>
    </r>
  </si>
  <si>
    <t xml:space="preserve">E-26</t>
  </si>
  <si>
    <r>
      <rPr>
        <sz val="11"/>
        <color theme="1"/>
        <rFont val="Calibri"/>
        <family val="2"/>
        <charset val="1"/>
      </rPr>
      <t xml:space="preserve">PlanController.java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personnel.vue</t>
    </r>
  </si>
  <si>
    <r>
      <rPr>
        <sz val="11"/>
        <color theme="1"/>
        <rFont val="Calibri"/>
        <family val="2"/>
        <charset val="1"/>
      </rPr>
      <t xml:space="preserve">PlanController.java:97-121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personnel.vue:108,216</t>
    </r>
  </si>
  <si>
    <r>
      <rPr>
        <sz val="11"/>
        <color theme="1"/>
        <rFont val="Noto Sans CJK SC"/>
        <family val="2"/>
      </rPr>
      <t xml:space="preserve">人员导入模板下载只生成两张固定表头的空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模板。</t>
    </r>
  </si>
  <si>
    <t xml:space="preserve">已排除：人员导入模板下载</t>
  </si>
  <si>
    <t xml:space="preserve">固定表头模板不维护、读取或计算业务数据，不构成独立基本过程。</t>
  </si>
  <si>
    <t xml:space="preserve">E-27</t>
  </si>
  <si>
    <r>
      <rPr>
        <sz val="11"/>
        <color theme="1"/>
        <rFont val="Calibri"/>
        <family val="2"/>
        <charset val="1"/>
      </rPr>
      <t xml:space="preserve">01-rebuild-schema.sql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OperationLogMapper.xml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RatingQuotaCalculator.java</t>
    </r>
  </si>
  <si>
    <r>
      <rPr>
        <sz val="11"/>
        <color theme="1"/>
        <rFont val="Calibri"/>
        <family val="2"/>
        <charset val="1"/>
      </rPr>
      <t xml:space="preserve">01-rebuild-schema.sql:102-106,372-387,458-477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OperationLogMapper.xml:6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RatingQuotaCalculator.java</t>
    </r>
  </si>
  <si>
    <t xml:space="preserve">年度守卫、评分会话、操作日志和评分配额不承载用户可查询或可维护的持久业务数据组。</t>
  </si>
  <si>
    <t xml:space="preserve">已排除：技术控制数据</t>
  </si>
  <si>
    <t xml:space="preserve">技术控制、技术会话、无查询入口的审计日志和实时派生配额不列为数据功能。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</si>
</sst>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  <font>
      <sz val="11"/>
      <color theme="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ataFunctionsTable" displayName="DataFunctionsTable" ref="A1:L14" headerRowCount="1" totalsRowCount="0" totalsRowShown="0">
  <autoFilter ref="A1:L14"/>
  <tableColumns count="12">
    <tableColumn id="1" name="编号"/>
    <tableColumn id="2" name="模块"/>
    <tableColumn id="3" name="功能名称"/>
    <tableColumn id="4" name="类型"/>
    <tableColumn id="5" name="RET 数"/>
    <tableColumn id="6" name="DET 数"/>
    <tableColumn id="7" name="复杂度"/>
    <tableColumn id="8" name="FP"/>
    <tableColumn id="9" name="RET 明细"/>
    <tableColumn id="10" name="DET 明细"/>
    <tableColumn id="11" name="证据编号"/>
    <tableColumn id="12" name="用户确认记录"/>
  </tableColumns>
</table>
</file>

<file path=xl/tables/table2.xml><?xml version="1.0" encoding="utf-8"?>
<table xmlns="http://schemas.openxmlformats.org/spreadsheetml/2006/main" id="2" name="EvidenceTable" displayName="EvidenceTable" ref="A1:I28" headerRowCount="1" totalsRowCount="0" totalsRowShown="0">
  <autoFilter ref="A1:I28"/>
  <tableColumns count="9">
    <tableColumn id="1" name="证据编号"/>
    <tableColumn id="2" name="角色"/>
    <tableColumn id="3" name="来源路径或接口"/>
    <tableColumn id="4" name="版本/commit/时间"/>
    <tableColumn id="5" name="精确定位"/>
    <tableColumn id="6" name="观察事实"/>
    <tableColumn id="7" name="支持的数据/事务编号"/>
    <tableColumn id="8" name="状态"/>
    <tableColumn id="9" name="排除理由"/>
  </tableColumns>
</table>
</file>

<file path=xl/tables/table3.xml><?xml version="1.0" encoding="utf-8"?>
<table xmlns="http://schemas.openxmlformats.org/spreadsheetml/2006/main" id="3" name="SummaryTable" displayName="SummaryTable" ref="A1:D23" headerRowCount="1" totalsRowCount="0" totalsRowShown="0">
  <autoFilter ref="A1:D23"/>
  <tableColumns count="4">
    <tableColumn id="1" name="项目"/>
    <tableColumn id="2" name="值"/>
    <tableColumn id="3" name="说明/公式"/>
    <tableColumn id="4" name="证据编号"/>
  </tableColumns>
</table>
</file>

<file path=xl/tables/table4.xml><?xml version="1.0" encoding="utf-8"?>
<table xmlns="http://schemas.openxmlformats.org/spreadsheetml/2006/main" id="4" name="TransactionsTable" displayName="TransactionsTable" ref="A1:M38" headerRowCount="1" totalsRowCount="0" totalsRowShown="0">
  <autoFilter ref="A1:M38"/>
  <tableColumns count="13">
    <tableColumn id="1" name="编号"/>
    <tableColumn id="2" name="模块"/>
    <tableColumn id="3" name="功能名称"/>
    <tableColumn id="4" name="类型"/>
    <tableColumn id="5" name="DET 数"/>
    <tableColumn id="6" name="FTR 数"/>
    <tableColumn id="7" name="复杂度"/>
    <tableColumn id="8" name="FP"/>
    <tableColumn id="9" name="处理说明"/>
    <tableColumn id="10" name="DET 明细（带侧）"/>
    <tableColumn id="11" name="FTR 引用"/>
    <tableColumn id="12" name="证据编号"/>
    <tableColumn id="13" name="用户确认记录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72"/>
    <col collapsed="false" customWidth="true" hidden="false" outlineLevel="0" max="4" min="4" style="0" width="2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7.15" hidden="false" customHeight="false" outlineLevel="0" collapsed="false">
      <c r="A2" s="2" t="s">
        <v>4</v>
      </c>
      <c r="B2" s="2" t="s">
        <v>5</v>
      </c>
      <c r="C2" s="2" t="s">
        <v>6</v>
      </c>
      <c r="D2" s="3" t="s">
        <v>7</v>
      </c>
    </row>
    <row r="3" customFormat="false" ht="17.15" hidden="false" customHeight="false" outlineLevel="0" collapsed="false">
      <c r="A3" s="2" t="s">
        <v>8</v>
      </c>
      <c r="B3" s="2" t="s">
        <v>9</v>
      </c>
      <c r="C3" s="2" t="s">
        <v>10</v>
      </c>
      <c r="D3" s="3" t="s">
        <v>11</v>
      </c>
    </row>
    <row r="4" customFormat="false" ht="28.35" hidden="false" customHeight="false" outlineLevel="0" collapsed="false">
      <c r="A4" s="2" t="s">
        <v>12</v>
      </c>
      <c r="B4" s="3" t="s">
        <v>13</v>
      </c>
      <c r="C4" s="2" t="s">
        <v>14</v>
      </c>
      <c r="D4" s="3" t="s">
        <v>15</v>
      </c>
    </row>
    <row r="5" customFormat="false" ht="28.35" hidden="false" customHeight="false" outlineLevel="0" collapsed="false">
      <c r="A5" s="2" t="s">
        <v>16</v>
      </c>
      <c r="B5" s="3" t="s">
        <v>17</v>
      </c>
      <c r="C5" s="3" t="s">
        <v>18</v>
      </c>
      <c r="D5" s="3" t="s">
        <v>19</v>
      </c>
    </row>
    <row r="6" customFormat="false" ht="17.15" hidden="false" customHeight="false" outlineLevel="0" collapsed="false">
      <c r="A6" s="2" t="s">
        <v>20</v>
      </c>
      <c r="B6" s="2" t="s">
        <v>21</v>
      </c>
      <c r="C6" s="2" t="s">
        <v>22</v>
      </c>
      <c r="D6" s="3" t="s">
        <v>23</v>
      </c>
    </row>
    <row r="7" customFormat="false" ht="17.15" hidden="false" customHeight="false" outlineLevel="0" collapsed="false">
      <c r="A7" s="2" t="s">
        <v>24</v>
      </c>
      <c r="B7" s="3" t="s">
        <v>25</v>
      </c>
      <c r="C7" s="2" t="s">
        <v>26</v>
      </c>
      <c r="D7" s="3" t="s">
        <v>27</v>
      </c>
    </row>
    <row r="8" customFormat="false" ht="17.15" hidden="false" customHeight="false" outlineLevel="0" collapsed="false">
      <c r="A8" s="2" t="s">
        <v>28</v>
      </c>
      <c r="B8" s="2" t="s">
        <v>29</v>
      </c>
      <c r="C8" s="2" t="s">
        <v>30</v>
      </c>
      <c r="D8" s="3" t="s">
        <v>31</v>
      </c>
    </row>
    <row r="9" customFormat="false" ht="32.8" hidden="false" customHeight="false" outlineLevel="0" collapsed="false">
      <c r="A9" s="2" t="s">
        <v>32</v>
      </c>
      <c r="B9" s="2" t="s">
        <v>33</v>
      </c>
      <c r="C9" s="2" t="s">
        <v>34</v>
      </c>
      <c r="D9" s="3" t="s">
        <v>35</v>
      </c>
    </row>
    <row r="10" customFormat="false" ht="17.15" hidden="false" customHeight="false" outlineLevel="0" collapsed="false">
      <c r="A10" s="2" t="s">
        <v>36</v>
      </c>
      <c r="B10" s="4" t="s">
        <v>37</v>
      </c>
      <c r="C10" s="2" t="s">
        <v>38</v>
      </c>
      <c r="D10" s="3" t="s">
        <v>7</v>
      </c>
    </row>
    <row r="11" customFormat="false" ht="17.15" hidden="false" customHeight="false" outlineLevel="0" collapsed="false">
      <c r="A11" s="3" t="s">
        <v>39</v>
      </c>
      <c r="B11" s="4" t="n">
        <f aca="false">COUNTIF(数据功能!D:D,"ILF")</f>
        <v>11</v>
      </c>
      <c r="C11" s="2" t="s">
        <v>40</v>
      </c>
      <c r="D11" s="2" t="s">
        <v>41</v>
      </c>
    </row>
    <row r="12" customFormat="false" ht="17.15" hidden="false" customHeight="false" outlineLevel="0" collapsed="false">
      <c r="A12" s="3" t="s">
        <v>42</v>
      </c>
      <c r="B12" s="4" t="n">
        <f aca="false">COUNTIF(数据功能!D:D,"ELF")</f>
        <v>2</v>
      </c>
      <c r="C12" s="2" t="s">
        <v>43</v>
      </c>
      <c r="D12" s="2" t="s">
        <v>41</v>
      </c>
    </row>
    <row r="13" customFormat="false" ht="17.15" hidden="false" customHeight="false" outlineLevel="0" collapsed="false">
      <c r="A13" s="3" t="s">
        <v>44</v>
      </c>
      <c r="B13" s="4" t="n">
        <f aca="false">COUNTIF(事务功能!D:D,"EI")</f>
        <v>22</v>
      </c>
      <c r="C13" s="2" t="s">
        <v>45</v>
      </c>
      <c r="D13" s="2" t="s">
        <v>41</v>
      </c>
    </row>
    <row r="14" customFormat="false" ht="17.15" hidden="false" customHeight="false" outlineLevel="0" collapsed="false">
      <c r="A14" s="3" t="s">
        <v>46</v>
      </c>
      <c r="B14" s="4" t="n">
        <f aca="false">COUNTIF(事务功能!D:D,"EO")</f>
        <v>10</v>
      </c>
      <c r="C14" s="2" t="s">
        <v>47</v>
      </c>
      <c r="D14" s="2" t="s">
        <v>41</v>
      </c>
    </row>
    <row r="15" customFormat="false" ht="17.15" hidden="false" customHeight="false" outlineLevel="0" collapsed="false">
      <c r="A15" s="3" t="s">
        <v>48</v>
      </c>
      <c r="B15" s="4" t="n">
        <f aca="false">COUNTIF(事务功能!D:D,"EQ")</f>
        <v>5</v>
      </c>
      <c r="C15" s="2" t="s">
        <v>49</v>
      </c>
      <c r="D15" s="2" t="s">
        <v>41</v>
      </c>
    </row>
    <row r="16" customFormat="false" ht="17.15" hidden="false" customHeight="false" outlineLevel="0" collapsed="false">
      <c r="A16" s="2" t="s">
        <v>50</v>
      </c>
      <c r="B16" s="4" t="n">
        <f aca="false">SUM(数据功能!H:H)</f>
        <v>87</v>
      </c>
      <c r="C16" s="2" t="s">
        <v>51</v>
      </c>
      <c r="D16" s="2" t="s">
        <v>41</v>
      </c>
    </row>
    <row r="17" customFormat="false" ht="17.15" hidden="false" customHeight="false" outlineLevel="0" collapsed="false">
      <c r="A17" s="2" t="s">
        <v>52</v>
      </c>
      <c r="B17" s="4" t="n">
        <f aca="false">SUM(事务功能!H:H)</f>
        <v>180</v>
      </c>
      <c r="C17" s="2" t="s">
        <v>53</v>
      </c>
      <c r="D17" s="2" t="s">
        <v>41</v>
      </c>
    </row>
    <row r="18" customFormat="false" ht="17.15" hidden="false" customHeight="false" outlineLevel="0" collapsed="false">
      <c r="A18" s="3" t="s">
        <v>54</v>
      </c>
      <c r="B18" s="4" t="n">
        <f aca="false">B16+B17</f>
        <v>267</v>
      </c>
      <c r="C18" s="2" t="s">
        <v>55</v>
      </c>
      <c r="D18" s="2" t="s">
        <v>41</v>
      </c>
    </row>
    <row r="19" customFormat="false" ht="17.15" hidden="false" customHeight="false" outlineLevel="0" collapsed="false">
      <c r="A19" s="2" t="s">
        <v>56</v>
      </c>
      <c r="B19" s="5" t="s">
        <v>57</v>
      </c>
      <c r="C19" s="2" t="s">
        <v>58</v>
      </c>
      <c r="D19" s="3" t="s">
        <v>59</v>
      </c>
    </row>
    <row r="20" customFormat="false" ht="32.8" hidden="false" customHeight="false" outlineLevel="0" collapsed="false">
      <c r="A20" s="2" t="s">
        <v>60</v>
      </c>
      <c r="B20" s="5" t="s">
        <v>61</v>
      </c>
      <c r="C20" s="2" t="s">
        <v>62</v>
      </c>
      <c r="D20" s="3" t="s">
        <v>63</v>
      </c>
    </row>
    <row r="21" customFormat="false" ht="32.8" hidden="false" customHeight="false" outlineLevel="0" collapsed="false">
      <c r="A21" s="2" t="s">
        <v>64</v>
      </c>
      <c r="B21" s="4" t="s">
        <v>65</v>
      </c>
      <c r="C21" s="2" t="s">
        <v>66</v>
      </c>
      <c r="D21" s="3" t="s">
        <v>27</v>
      </c>
    </row>
    <row r="22" customFormat="false" ht="17.15" hidden="false" customHeight="false" outlineLevel="0" collapsed="false">
      <c r="A22" s="2" t="s">
        <v>67</v>
      </c>
      <c r="B22" s="5" t="s">
        <v>68</v>
      </c>
      <c r="C22" s="2" t="s">
        <v>69</v>
      </c>
      <c r="D22" s="3" t="s">
        <v>11</v>
      </c>
    </row>
    <row r="23" customFormat="false" ht="17.15" hidden="false" customHeight="false" outlineLevel="0" collapsed="false">
      <c r="A23" s="2" t="s">
        <v>70</v>
      </c>
      <c r="B23" s="4" t="s">
        <v>71</v>
      </c>
      <c r="C23" s="2" t="s">
        <v>72</v>
      </c>
      <c r="D23" s="3" t="s">
        <v>23</v>
      </c>
    </row>
  </sheetData>
  <printOptions headings="false" gridLines="false" gridLinesSet="true" horizontalCentered="true" verticalCentered="false"/>
  <pageMargins left="0.25" right="0.25" top="0.4" bottom="0.4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7" min="4" style="0" width="10"/>
    <col collapsed="false" customWidth="true" hidden="false" outlineLevel="0" max="8" min="8" style="0" width="8"/>
    <col collapsed="false" customWidth="true" hidden="false" outlineLevel="0" max="9" min="9" style="0" width="34"/>
    <col collapsed="false" customWidth="true" hidden="false" outlineLevel="0" max="10" min="10" style="0" width="62"/>
    <col collapsed="false" customWidth="true" hidden="false" outlineLevel="0" max="11" min="11" style="0" width="25"/>
    <col collapsed="false" customWidth="true" hidden="false" outlineLevel="0" max="12" min="12" style="0" width="55"/>
  </cols>
  <sheetData>
    <row r="1" customFormat="false" ht="30" hidden="false" customHeight="true" outlineLevel="0" collapsed="false">
      <c r="A1" s="1" t="s">
        <v>73</v>
      </c>
      <c r="B1" s="1" t="s">
        <v>74</v>
      </c>
      <c r="C1" s="1" t="s">
        <v>75</v>
      </c>
      <c r="D1" s="1" t="s">
        <v>76</v>
      </c>
      <c r="E1" s="6" t="s">
        <v>77</v>
      </c>
      <c r="F1" s="6" t="s">
        <v>78</v>
      </c>
      <c r="G1" s="1" t="s">
        <v>79</v>
      </c>
      <c r="H1" s="6" t="s">
        <v>80</v>
      </c>
      <c r="I1" s="6" t="s">
        <v>81</v>
      </c>
      <c r="J1" s="6" t="s">
        <v>82</v>
      </c>
      <c r="K1" s="1" t="s">
        <v>3</v>
      </c>
      <c r="L1" s="1" t="s">
        <v>83</v>
      </c>
    </row>
    <row r="2" customFormat="false" ht="79.85" hidden="false" customHeight="false" outlineLevel="0" collapsed="false">
      <c r="A2" s="3" t="s">
        <v>84</v>
      </c>
      <c r="B2" s="2" t="s">
        <v>85</v>
      </c>
      <c r="C2" s="2" t="s">
        <v>86</v>
      </c>
      <c r="D2" s="3" t="s">
        <v>87</v>
      </c>
      <c r="E2" s="3" t="n">
        <v>3</v>
      </c>
      <c r="F2" s="3" t="n">
        <v>5</v>
      </c>
      <c r="G2" s="2" t="s">
        <v>88</v>
      </c>
      <c r="H2" s="3" t="n">
        <v>7</v>
      </c>
      <c r="I2" s="2" t="s">
        <v>89</v>
      </c>
      <c r="J2" s="2" t="s">
        <v>90</v>
      </c>
      <c r="K2" s="3" t="s">
        <v>91</v>
      </c>
      <c r="L2" s="3" t="s">
        <v>92</v>
      </c>
    </row>
    <row r="3" customFormat="false" ht="48.5" hidden="false" customHeight="false" outlineLevel="0" collapsed="false">
      <c r="A3" s="3" t="s">
        <v>93</v>
      </c>
      <c r="B3" s="2" t="s">
        <v>85</v>
      </c>
      <c r="C3" s="2" t="s">
        <v>94</v>
      </c>
      <c r="D3" s="3" t="s">
        <v>87</v>
      </c>
      <c r="E3" s="3" t="n">
        <v>1</v>
      </c>
      <c r="F3" s="3" t="n">
        <v>3</v>
      </c>
      <c r="G3" s="2" t="s">
        <v>88</v>
      </c>
      <c r="H3" s="3" t="n">
        <v>7</v>
      </c>
      <c r="I3" s="2" t="s">
        <v>94</v>
      </c>
      <c r="J3" s="2" t="s">
        <v>95</v>
      </c>
      <c r="K3" s="3" t="s">
        <v>96</v>
      </c>
      <c r="L3" s="3" t="s">
        <v>92</v>
      </c>
    </row>
    <row r="4" customFormat="false" ht="111.15" hidden="false" customHeight="false" outlineLevel="0" collapsed="false">
      <c r="A4" s="3" t="s">
        <v>97</v>
      </c>
      <c r="B4" s="2" t="s">
        <v>98</v>
      </c>
      <c r="C4" s="2" t="s">
        <v>98</v>
      </c>
      <c r="D4" s="3" t="s">
        <v>87</v>
      </c>
      <c r="E4" s="3" t="n">
        <v>2</v>
      </c>
      <c r="F4" s="3" t="n">
        <v>7</v>
      </c>
      <c r="G4" s="2" t="s">
        <v>88</v>
      </c>
      <c r="H4" s="3" t="n">
        <v>7</v>
      </c>
      <c r="I4" s="2" t="s">
        <v>99</v>
      </c>
      <c r="J4" s="2" t="s">
        <v>100</v>
      </c>
      <c r="K4" s="3" t="s">
        <v>96</v>
      </c>
      <c r="L4" s="3" t="s">
        <v>92</v>
      </c>
    </row>
    <row r="5" customFormat="false" ht="142.5" hidden="false" customHeight="false" outlineLevel="0" collapsed="false">
      <c r="A5" s="3" t="s">
        <v>101</v>
      </c>
      <c r="B5" s="2" t="s">
        <v>102</v>
      </c>
      <c r="C5" s="2" t="s">
        <v>102</v>
      </c>
      <c r="D5" s="3" t="s">
        <v>87</v>
      </c>
      <c r="E5" s="3" t="n">
        <v>2</v>
      </c>
      <c r="F5" s="3" t="n">
        <v>9</v>
      </c>
      <c r="G5" s="2" t="s">
        <v>88</v>
      </c>
      <c r="H5" s="3" t="n">
        <v>7</v>
      </c>
      <c r="I5" s="2" t="s">
        <v>103</v>
      </c>
      <c r="J5" s="2" t="s">
        <v>104</v>
      </c>
      <c r="K5" s="3" t="s">
        <v>105</v>
      </c>
      <c r="L5" s="3" t="s">
        <v>92</v>
      </c>
    </row>
    <row r="6" customFormat="false" ht="299.25" hidden="false" customHeight="false" outlineLevel="0" collapsed="false">
      <c r="A6" s="3" t="s">
        <v>106</v>
      </c>
      <c r="B6" s="2" t="s">
        <v>107</v>
      </c>
      <c r="C6" s="2" t="s">
        <v>108</v>
      </c>
      <c r="D6" s="3" t="s">
        <v>87</v>
      </c>
      <c r="E6" s="3" t="n">
        <v>2</v>
      </c>
      <c r="F6" s="3" t="n">
        <v>19</v>
      </c>
      <c r="G6" s="2" t="s">
        <v>88</v>
      </c>
      <c r="H6" s="3" t="n">
        <v>7</v>
      </c>
      <c r="I6" s="2" t="s">
        <v>109</v>
      </c>
      <c r="J6" s="2" t="s">
        <v>110</v>
      </c>
      <c r="K6" s="3" t="s">
        <v>111</v>
      </c>
      <c r="L6" s="3" t="s">
        <v>92</v>
      </c>
    </row>
    <row r="7" customFormat="false" ht="111.15" hidden="false" customHeight="false" outlineLevel="0" collapsed="false">
      <c r="A7" s="3" t="s">
        <v>112</v>
      </c>
      <c r="B7" s="2" t="s">
        <v>113</v>
      </c>
      <c r="C7" s="2" t="s">
        <v>113</v>
      </c>
      <c r="D7" s="3" t="s">
        <v>87</v>
      </c>
      <c r="E7" s="3" t="n">
        <v>4</v>
      </c>
      <c r="F7" s="3" t="n">
        <v>7</v>
      </c>
      <c r="G7" s="2" t="s">
        <v>88</v>
      </c>
      <c r="H7" s="3" t="n">
        <v>7</v>
      </c>
      <c r="I7" s="2" t="s">
        <v>114</v>
      </c>
      <c r="J7" s="2" t="s">
        <v>115</v>
      </c>
      <c r="K7" s="3" t="s">
        <v>116</v>
      </c>
      <c r="L7" s="3" t="s">
        <v>117</v>
      </c>
    </row>
    <row r="8" customFormat="false" ht="126.85" hidden="false" customHeight="false" outlineLevel="0" collapsed="false">
      <c r="A8" s="3" t="s">
        <v>118</v>
      </c>
      <c r="B8" s="2" t="s">
        <v>119</v>
      </c>
      <c r="C8" s="2" t="s">
        <v>120</v>
      </c>
      <c r="D8" s="3" t="s">
        <v>87</v>
      </c>
      <c r="E8" s="3" t="n">
        <v>2</v>
      </c>
      <c r="F8" s="3" t="n">
        <v>8</v>
      </c>
      <c r="G8" s="2" t="s">
        <v>88</v>
      </c>
      <c r="H8" s="3" t="n">
        <v>7</v>
      </c>
      <c r="I8" s="2" t="s">
        <v>121</v>
      </c>
      <c r="J8" s="2" t="s">
        <v>122</v>
      </c>
      <c r="K8" s="3" t="s">
        <v>123</v>
      </c>
      <c r="L8" s="3" t="s">
        <v>124</v>
      </c>
    </row>
    <row r="9" customFormat="false" ht="79.85" hidden="false" customHeight="false" outlineLevel="0" collapsed="false">
      <c r="A9" s="3" t="s">
        <v>125</v>
      </c>
      <c r="B9" s="2" t="s">
        <v>126</v>
      </c>
      <c r="C9" s="2" t="s">
        <v>127</v>
      </c>
      <c r="D9" s="3" t="s">
        <v>87</v>
      </c>
      <c r="E9" s="3" t="n">
        <v>1</v>
      </c>
      <c r="F9" s="3" t="n">
        <v>5</v>
      </c>
      <c r="G9" s="2" t="s">
        <v>88</v>
      </c>
      <c r="H9" s="3" t="n">
        <v>7</v>
      </c>
      <c r="I9" s="2" t="s">
        <v>126</v>
      </c>
      <c r="J9" s="2" t="s">
        <v>128</v>
      </c>
      <c r="K9" s="3" t="s">
        <v>96</v>
      </c>
      <c r="L9" s="3" t="s">
        <v>92</v>
      </c>
    </row>
    <row r="10" customFormat="false" ht="79.85" hidden="false" customHeight="false" outlineLevel="0" collapsed="false">
      <c r="A10" s="3" t="s">
        <v>129</v>
      </c>
      <c r="B10" s="2" t="s">
        <v>119</v>
      </c>
      <c r="C10" s="2" t="s">
        <v>130</v>
      </c>
      <c r="D10" s="3" t="s">
        <v>87</v>
      </c>
      <c r="E10" s="3" t="n">
        <v>2</v>
      </c>
      <c r="F10" s="3" t="n">
        <v>5</v>
      </c>
      <c r="G10" s="2" t="s">
        <v>88</v>
      </c>
      <c r="H10" s="3" t="n">
        <v>7</v>
      </c>
      <c r="I10" s="2" t="s">
        <v>131</v>
      </c>
      <c r="J10" s="2" t="s">
        <v>132</v>
      </c>
      <c r="K10" s="3" t="s">
        <v>133</v>
      </c>
      <c r="L10" s="3" t="s">
        <v>92</v>
      </c>
    </row>
    <row r="11" customFormat="false" ht="79.85" hidden="false" customHeight="false" outlineLevel="0" collapsed="false">
      <c r="A11" s="3" t="s">
        <v>134</v>
      </c>
      <c r="B11" s="2" t="s">
        <v>135</v>
      </c>
      <c r="C11" s="2" t="s">
        <v>135</v>
      </c>
      <c r="D11" s="3" t="s">
        <v>87</v>
      </c>
      <c r="E11" s="3" t="n">
        <v>2</v>
      </c>
      <c r="F11" s="3" t="n">
        <v>5</v>
      </c>
      <c r="G11" s="2" t="s">
        <v>88</v>
      </c>
      <c r="H11" s="3" t="n">
        <v>7</v>
      </c>
      <c r="I11" s="2" t="s">
        <v>136</v>
      </c>
      <c r="J11" s="2" t="s">
        <v>137</v>
      </c>
      <c r="K11" s="3" t="s">
        <v>138</v>
      </c>
      <c r="L11" s="3" t="s">
        <v>92</v>
      </c>
    </row>
    <row r="12" customFormat="false" ht="126.85" hidden="false" customHeight="false" outlineLevel="0" collapsed="false">
      <c r="A12" s="3" t="s">
        <v>139</v>
      </c>
      <c r="B12" s="2" t="s">
        <v>140</v>
      </c>
      <c r="C12" s="2" t="s">
        <v>140</v>
      </c>
      <c r="D12" s="3" t="s">
        <v>87</v>
      </c>
      <c r="E12" s="3" t="n">
        <v>1</v>
      </c>
      <c r="F12" s="3" t="n">
        <v>8</v>
      </c>
      <c r="G12" s="2" t="s">
        <v>88</v>
      </c>
      <c r="H12" s="3" t="n">
        <v>7</v>
      </c>
      <c r="I12" s="2" t="s">
        <v>140</v>
      </c>
      <c r="J12" s="2" t="s">
        <v>141</v>
      </c>
      <c r="K12" s="3" t="s">
        <v>142</v>
      </c>
      <c r="L12" s="3" t="s">
        <v>92</v>
      </c>
    </row>
    <row r="13" customFormat="false" ht="79.85" hidden="false" customHeight="false" outlineLevel="0" collapsed="false">
      <c r="A13" s="3" t="s">
        <v>143</v>
      </c>
      <c r="B13" s="2" t="s">
        <v>144</v>
      </c>
      <c r="C13" s="2" t="s">
        <v>145</v>
      </c>
      <c r="D13" s="3" t="s">
        <v>146</v>
      </c>
      <c r="E13" s="3" t="n">
        <v>1</v>
      </c>
      <c r="F13" s="3" t="n">
        <v>5</v>
      </c>
      <c r="G13" s="2" t="s">
        <v>88</v>
      </c>
      <c r="H13" s="3" t="n">
        <v>5</v>
      </c>
      <c r="I13" s="2" t="s">
        <v>145</v>
      </c>
      <c r="J13" s="2" t="s">
        <v>147</v>
      </c>
      <c r="K13" s="3" t="s">
        <v>148</v>
      </c>
      <c r="L13" s="3" t="s">
        <v>149</v>
      </c>
    </row>
    <row r="14" customFormat="false" ht="48.5" hidden="false" customHeight="false" outlineLevel="0" collapsed="false">
      <c r="A14" s="3" t="s">
        <v>150</v>
      </c>
      <c r="B14" s="2" t="s">
        <v>144</v>
      </c>
      <c r="C14" s="2" t="s">
        <v>151</v>
      </c>
      <c r="D14" s="3" t="s">
        <v>146</v>
      </c>
      <c r="E14" s="3" t="n">
        <v>1</v>
      </c>
      <c r="F14" s="3" t="n">
        <v>1</v>
      </c>
      <c r="G14" s="2" t="s">
        <v>88</v>
      </c>
      <c r="H14" s="3" t="n">
        <v>5</v>
      </c>
      <c r="I14" s="2" t="s">
        <v>151</v>
      </c>
      <c r="J14" s="2" t="s">
        <v>152</v>
      </c>
      <c r="K14" s="3" t="s">
        <v>148</v>
      </c>
      <c r="L14" s="3" t="s">
        <v>153</v>
      </c>
    </row>
  </sheetData>
  <printOptions headings="false" gridLines="false" gridLinesSet="true" horizontalCentered="true" verticalCentered="false"/>
  <pageMargins left="0.25" right="0.25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7" min="4" style="0" width="10"/>
    <col collapsed="false" customWidth="true" hidden="false" outlineLevel="0" max="8" min="8" style="0" width="8"/>
    <col collapsed="false" customWidth="true" hidden="false" outlineLevel="0" max="9" min="9" style="0" width="52"/>
    <col collapsed="false" customWidth="true" hidden="false" outlineLevel="0" max="10" min="10" style="0" width="80"/>
    <col collapsed="false" customWidth="true" hidden="false" outlineLevel="0" max="11" min="11" style="0" width="32"/>
    <col collapsed="false" customWidth="true" hidden="false" outlineLevel="0" max="12" min="12" style="0" width="26"/>
    <col collapsed="false" customWidth="true" hidden="false" outlineLevel="0" max="13" min="13" style="0" width="55"/>
  </cols>
  <sheetData>
    <row r="1" customFormat="false" ht="30" hidden="false" customHeight="true" outlineLevel="0" collapsed="false">
      <c r="A1" s="1" t="s">
        <v>73</v>
      </c>
      <c r="B1" s="1" t="s">
        <v>74</v>
      </c>
      <c r="C1" s="1" t="s">
        <v>75</v>
      </c>
      <c r="D1" s="1" t="s">
        <v>76</v>
      </c>
      <c r="E1" s="6" t="s">
        <v>78</v>
      </c>
      <c r="F1" s="6" t="s">
        <v>154</v>
      </c>
      <c r="G1" s="1" t="s">
        <v>79</v>
      </c>
      <c r="H1" s="6" t="s">
        <v>80</v>
      </c>
      <c r="I1" s="1" t="s">
        <v>155</v>
      </c>
      <c r="J1" s="6" t="s">
        <v>156</v>
      </c>
      <c r="K1" s="6" t="s">
        <v>157</v>
      </c>
      <c r="L1" s="1" t="s">
        <v>3</v>
      </c>
      <c r="M1" s="1" t="s">
        <v>83</v>
      </c>
    </row>
    <row r="2" customFormat="false" ht="64.15" hidden="false" customHeight="false" outlineLevel="0" collapsed="false">
      <c r="A2" s="3" t="s">
        <v>158</v>
      </c>
      <c r="B2" s="2" t="s">
        <v>102</v>
      </c>
      <c r="C2" s="2" t="s">
        <v>159</v>
      </c>
      <c r="D2" s="3" t="s">
        <v>160</v>
      </c>
      <c r="E2" s="3" t="n">
        <v>4</v>
      </c>
      <c r="F2" s="3" t="n">
        <v>1</v>
      </c>
      <c r="G2" s="2" t="s">
        <v>88</v>
      </c>
      <c r="H2" s="3" t="n">
        <v>3</v>
      </c>
      <c r="I2" s="2" t="s">
        <v>161</v>
      </c>
      <c r="J2" s="2" t="s">
        <v>162</v>
      </c>
      <c r="K2" s="3" t="s">
        <v>101</v>
      </c>
      <c r="L2" s="3" t="s">
        <v>163</v>
      </c>
      <c r="M2" s="3" t="s">
        <v>92</v>
      </c>
    </row>
    <row r="3" customFormat="false" ht="64.15" hidden="false" customHeight="false" outlineLevel="0" collapsed="false">
      <c r="A3" s="3" t="s">
        <v>164</v>
      </c>
      <c r="B3" s="2" t="s">
        <v>102</v>
      </c>
      <c r="C3" s="2" t="s">
        <v>165</v>
      </c>
      <c r="D3" s="3" t="s">
        <v>160</v>
      </c>
      <c r="E3" s="3" t="n">
        <v>4</v>
      </c>
      <c r="F3" s="3" t="n">
        <v>1</v>
      </c>
      <c r="G3" s="2" t="s">
        <v>88</v>
      </c>
      <c r="H3" s="3" t="n">
        <v>3</v>
      </c>
      <c r="I3" s="2" t="s">
        <v>166</v>
      </c>
      <c r="J3" s="2" t="s">
        <v>162</v>
      </c>
      <c r="K3" s="3" t="s">
        <v>101</v>
      </c>
      <c r="L3" s="3" t="s">
        <v>163</v>
      </c>
      <c r="M3" s="3" t="s">
        <v>92</v>
      </c>
    </row>
    <row r="4" customFormat="false" ht="111.15" hidden="false" customHeight="false" outlineLevel="0" collapsed="false">
      <c r="A4" s="3" t="s">
        <v>167</v>
      </c>
      <c r="B4" s="2" t="s">
        <v>102</v>
      </c>
      <c r="C4" s="2" t="s">
        <v>168</v>
      </c>
      <c r="D4" s="3" t="s">
        <v>160</v>
      </c>
      <c r="E4" s="3" t="n">
        <v>7</v>
      </c>
      <c r="F4" s="3" t="n">
        <v>1</v>
      </c>
      <c r="G4" s="2" t="s">
        <v>88</v>
      </c>
      <c r="H4" s="3" t="n">
        <v>3</v>
      </c>
      <c r="I4" s="2" t="s">
        <v>169</v>
      </c>
      <c r="J4" s="2" t="s">
        <v>170</v>
      </c>
      <c r="K4" s="3" t="s">
        <v>101</v>
      </c>
      <c r="L4" s="3" t="s">
        <v>163</v>
      </c>
      <c r="M4" s="3" t="s">
        <v>92</v>
      </c>
    </row>
    <row r="5" customFormat="false" ht="32.8" hidden="false" customHeight="false" outlineLevel="0" collapsed="false">
      <c r="A5" s="3" t="s">
        <v>171</v>
      </c>
      <c r="B5" s="2" t="s">
        <v>102</v>
      </c>
      <c r="C5" s="2" t="s">
        <v>172</v>
      </c>
      <c r="D5" s="3" t="s">
        <v>160</v>
      </c>
      <c r="E5" s="3" t="n">
        <v>2</v>
      </c>
      <c r="F5" s="3" t="n">
        <v>1</v>
      </c>
      <c r="G5" s="2" t="s">
        <v>88</v>
      </c>
      <c r="H5" s="3" t="n">
        <v>3</v>
      </c>
      <c r="I5" s="2" t="s">
        <v>173</v>
      </c>
      <c r="J5" s="2" t="s">
        <v>174</v>
      </c>
      <c r="K5" s="3" t="s">
        <v>101</v>
      </c>
      <c r="L5" s="3" t="s">
        <v>163</v>
      </c>
      <c r="M5" s="3" t="s">
        <v>92</v>
      </c>
    </row>
    <row r="6" customFormat="false" ht="32.8" hidden="false" customHeight="false" outlineLevel="0" collapsed="false">
      <c r="A6" s="3" t="s">
        <v>175</v>
      </c>
      <c r="B6" s="2" t="s">
        <v>102</v>
      </c>
      <c r="C6" s="2" t="s">
        <v>176</v>
      </c>
      <c r="D6" s="3" t="s">
        <v>160</v>
      </c>
      <c r="E6" s="3" t="n">
        <v>2</v>
      </c>
      <c r="F6" s="3" t="n">
        <v>1</v>
      </c>
      <c r="G6" s="2" t="s">
        <v>88</v>
      </c>
      <c r="H6" s="3" t="n">
        <v>3</v>
      </c>
      <c r="I6" s="2" t="s">
        <v>177</v>
      </c>
      <c r="J6" s="2" t="s">
        <v>174</v>
      </c>
      <c r="K6" s="3" t="s">
        <v>101</v>
      </c>
      <c r="L6" s="3" t="s">
        <v>163</v>
      </c>
      <c r="M6" s="3" t="s">
        <v>92</v>
      </c>
    </row>
    <row r="7" customFormat="false" ht="48.5" hidden="false" customHeight="false" outlineLevel="0" collapsed="false">
      <c r="A7" s="3" t="s">
        <v>178</v>
      </c>
      <c r="B7" s="2" t="s">
        <v>102</v>
      </c>
      <c r="C7" s="2" t="s">
        <v>179</v>
      </c>
      <c r="D7" s="3" t="s">
        <v>160</v>
      </c>
      <c r="E7" s="3" t="n">
        <v>3</v>
      </c>
      <c r="F7" s="3" t="n">
        <v>1</v>
      </c>
      <c r="G7" s="2" t="s">
        <v>88</v>
      </c>
      <c r="H7" s="3" t="n">
        <v>3</v>
      </c>
      <c r="I7" s="2" t="s">
        <v>180</v>
      </c>
      <c r="J7" s="2" t="s">
        <v>181</v>
      </c>
      <c r="K7" s="3" t="s">
        <v>101</v>
      </c>
      <c r="L7" s="3" t="s">
        <v>163</v>
      </c>
      <c r="M7" s="3" t="s">
        <v>92</v>
      </c>
    </row>
    <row r="8" customFormat="false" ht="32.8" hidden="false" customHeight="false" outlineLevel="0" collapsed="false">
      <c r="A8" s="3" t="s">
        <v>182</v>
      </c>
      <c r="B8" s="2" t="s">
        <v>102</v>
      </c>
      <c r="C8" s="2" t="s">
        <v>183</v>
      </c>
      <c r="D8" s="3" t="s">
        <v>160</v>
      </c>
      <c r="E8" s="3" t="n">
        <v>2</v>
      </c>
      <c r="F8" s="3" t="n">
        <v>1</v>
      </c>
      <c r="G8" s="2" t="s">
        <v>88</v>
      </c>
      <c r="H8" s="3" t="n">
        <v>3</v>
      </c>
      <c r="I8" s="2" t="s">
        <v>184</v>
      </c>
      <c r="J8" s="2" t="s">
        <v>174</v>
      </c>
      <c r="K8" s="3" t="s">
        <v>101</v>
      </c>
      <c r="L8" s="3" t="s">
        <v>163</v>
      </c>
      <c r="M8" s="3" t="s">
        <v>92</v>
      </c>
    </row>
    <row r="9" customFormat="false" ht="189.55" hidden="false" customHeight="false" outlineLevel="0" collapsed="false">
      <c r="A9" s="3" t="s">
        <v>185</v>
      </c>
      <c r="B9" s="2" t="s">
        <v>102</v>
      </c>
      <c r="C9" s="2" t="s">
        <v>186</v>
      </c>
      <c r="D9" s="3" t="s">
        <v>187</v>
      </c>
      <c r="E9" s="3" t="n">
        <v>12</v>
      </c>
      <c r="F9" s="3" t="n">
        <v>1</v>
      </c>
      <c r="G9" s="2" t="s">
        <v>88</v>
      </c>
      <c r="H9" s="3" t="n">
        <v>3</v>
      </c>
      <c r="I9" s="2" t="s">
        <v>188</v>
      </c>
      <c r="J9" s="2" t="s">
        <v>189</v>
      </c>
      <c r="K9" s="3" t="s">
        <v>101</v>
      </c>
      <c r="L9" s="3" t="s">
        <v>163</v>
      </c>
      <c r="M9" s="3" t="s">
        <v>92</v>
      </c>
    </row>
    <row r="10" customFormat="false" ht="79.85" hidden="false" customHeight="false" outlineLevel="0" collapsed="false">
      <c r="A10" s="3" t="s">
        <v>190</v>
      </c>
      <c r="B10" s="2" t="s">
        <v>107</v>
      </c>
      <c r="C10" s="2" t="s">
        <v>191</v>
      </c>
      <c r="D10" s="3" t="s">
        <v>160</v>
      </c>
      <c r="E10" s="3" t="n">
        <v>5</v>
      </c>
      <c r="F10" s="3" t="n">
        <v>2</v>
      </c>
      <c r="G10" s="2" t="s">
        <v>192</v>
      </c>
      <c r="H10" s="3" t="n">
        <v>4</v>
      </c>
      <c r="I10" s="2" t="s">
        <v>193</v>
      </c>
      <c r="J10" s="2" t="s">
        <v>194</v>
      </c>
      <c r="K10" s="3" t="s">
        <v>195</v>
      </c>
      <c r="L10" s="3" t="s">
        <v>196</v>
      </c>
      <c r="M10" s="3" t="s">
        <v>92</v>
      </c>
    </row>
    <row r="11" customFormat="false" ht="64.15" hidden="false" customHeight="false" outlineLevel="0" collapsed="false">
      <c r="A11" s="3" t="s">
        <v>197</v>
      </c>
      <c r="B11" s="2" t="s">
        <v>107</v>
      </c>
      <c r="C11" s="2" t="s">
        <v>198</v>
      </c>
      <c r="D11" s="3" t="s">
        <v>160</v>
      </c>
      <c r="E11" s="3" t="n">
        <v>4</v>
      </c>
      <c r="F11" s="3" t="n">
        <v>8</v>
      </c>
      <c r="G11" s="2" t="s">
        <v>192</v>
      </c>
      <c r="H11" s="3" t="n">
        <v>4</v>
      </c>
      <c r="I11" s="2" t="s">
        <v>199</v>
      </c>
      <c r="J11" s="2" t="s">
        <v>200</v>
      </c>
      <c r="K11" s="3" t="s">
        <v>201</v>
      </c>
      <c r="L11" s="3" t="s">
        <v>202</v>
      </c>
      <c r="M11" s="3" t="s">
        <v>92</v>
      </c>
    </row>
    <row r="12" customFormat="false" ht="32.8" hidden="false" customHeight="false" outlineLevel="0" collapsed="false">
      <c r="A12" s="3" t="s">
        <v>203</v>
      </c>
      <c r="B12" s="2" t="s">
        <v>107</v>
      </c>
      <c r="C12" s="2" t="s">
        <v>204</v>
      </c>
      <c r="D12" s="3" t="s">
        <v>160</v>
      </c>
      <c r="E12" s="3" t="n">
        <v>2</v>
      </c>
      <c r="F12" s="3" t="n">
        <v>7</v>
      </c>
      <c r="G12" s="2" t="s">
        <v>192</v>
      </c>
      <c r="H12" s="3" t="n">
        <v>4</v>
      </c>
      <c r="I12" s="2" t="s">
        <v>205</v>
      </c>
      <c r="J12" s="2" t="s">
        <v>174</v>
      </c>
      <c r="K12" s="3" t="s">
        <v>206</v>
      </c>
      <c r="L12" s="3" t="s">
        <v>196</v>
      </c>
      <c r="M12" s="3" t="s">
        <v>92</v>
      </c>
    </row>
    <row r="13" customFormat="false" ht="220.85" hidden="false" customHeight="false" outlineLevel="0" collapsed="false">
      <c r="A13" s="3" t="s">
        <v>207</v>
      </c>
      <c r="B13" s="2" t="s">
        <v>107</v>
      </c>
      <c r="C13" s="2" t="s">
        <v>208</v>
      </c>
      <c r="D13" s="3" t="s">
        <v>187</v>
      </c>
      <c r="E13" s="3" t="n">
        <v>14</v>
      </c>
      <c r="F13" s="3" t="n">
        <v>3</v>
      </c>
      <c r="G13" s="2" t="s">
        <v>192</v>
      </c>
      <c r="H13" s="3" t="n">
        <v>4</v>
      </c>
      <c r="I13" s="2" t="s">
        <v>209</v>
      </c>
      <c r="J13" s="2" t="s">
        <v>210</v>
      </c>
      <c r="K13" s="3" t="s">
        <v>211</v>
      </c>
      <c r="L13" s="3" t="s">
        <v>196</v>
      </c>
      <c r="M13" s="3" t="s">
        <v>92</v>
      </c>
    </row>
    <row r="14" customFormat="false" ht="377.6" hidden="false" customHeight="false" outlineLevel="0" collapsed="false">
      <c r="A14" s="3" t="s">
        <v>212</v>
      </c>
      <c r="B14" s="2" t="s">
        <v>85</v>
      </c>
      <c r="C14" s="2" t="s">
        <v>213</v>
      </c>
      <c r="D14" s="3" t="s">
        <v>214</v>
      </c>
      <c r="E14" s="3" t="n">
        <v>24</v>
      </c>
      <c r="F14" s="3" t="n">
        <v>4</v>
      </c>
      <c r="G14" s="2" t="s">
        <v>215</v>
      </c>
      <c r="H14" s="3" t="n">
        <v>7</v>
      </c>
      <c r="I14" s="2" t="s">
        <v>216</v>
      </c>
      <c r="J14" s="2" t="s">
        <v>217</v>
      </c>
      <c r="K14" s="3" t="s">
        <v>218</v>
      </c>
      <c r="L14" s="3" t="s">
        <v>219</v>
      </c>
      <c r="M14" s="3" t="s">
        <v>92</v>
      </c>
    </row>
    <row r="15" customFormat="false" ht="252.2" hidden="false" customHeight="false" outlineLevel="0" collapsed="false">
      <c r="A15" s="3" t="s">
        <v>220</v>
      </c>
      <c r="B15" s="2" t="s">
        <v>85</v>
      </c>
      <c r="C15" s="2" t="s">
        <v>221</v>
      </c>
      <c r="D15" s="3" t="s">
        <v>160</v>
      </c>
      <c r="E15" s="3" t="n">
        <v>16</v>
      </c>
      <c r="F15" s="3" t="n">
        <v>8</v>
      </c>
      <c r="G15" s="2" t="s">
        <v>215</v>
      </c>
      <c r="H15" s="3" t="n">
        <v>6</v>
      </c>
      <c r="I15" s="2" t="s">
        <v>222</v>
      </c>
      <c r="J15" s="2" t="s">
        <v>223</v>
      </c>
      <c r="K15" s="3" t="s">
        <v>201</v>
      </c>
      <c r="L15" s="3" t="s">
        <v>224</v>
      </c>
      <c r="M15" s="3" t="s">
        <v>92</v>
      </c>
    </row>
    <row r="16" customFormat="false" ht="142.5" hidden="false" customHeight="false" outlineLevel="0" collapsed="false">
      <c r="A16" s="3" t="s">
        <v>225</v>
      </c>
      <c r="B16" s="2" t="s">
        <v>85</v>
      </c>
      <c r="C16" s="2" t="s">
        <v>226</v>
      </c>
      <c r="D16" s="3" t="s">
        <v>187</v>
      </c>
      <c r="E16" s="3" t="n">
        <v>9</v>
      </c>
      <c r="F16" s="3" t="n">
        <v>3</v>
      </c>
      <c r="G16" s="2" t="s">
        <v>192</v>
      </c>
      <c r="H16" s="3" t="n">
        <v>4</v>
      </c>
      <c r="I16" s="2" t="s">
        <v>227</v>
      </c>
      <c r="J16" s="2" t="s">
        <v>228</v>
      </c>
      <c r="K16" s="3" t="s">
        <v>229</v>
      </c>
      <c r="L16" s="3" t="s">
        <v>219</v>
      </c>
      <c r="M16" s="3" t="s">
        <v>92</v>
      </c>
    </row>
    <row r="17" customFormat="false" ht="283.55" hidden="false" customHeight="false" outlineLevel="0" collapsed="false">
      <c r="A17" s="3" t="s">
        <v>230</v>
      </c>
      <c r="B17" s="2" t="s">
        <v>98</v>
      </c>
      <c r="C17" s="2" t="s">
        <v>231</v>
      </c>
      <c r="D17" s="3" t="s">
        <v>214</v>
      </c>
      <c r="E17" s="3" t="n">
        <v>18</v>
      </c>
      <c r="F17" s="3" t="n">
        <v>5</v>
      </c>
      <c r="G17" s="2" t="s">
        <v>215</v>
      </c>
      <c r="H17" s="3" t="n">
        <v>7</v>
      </c>
      <c r="I17" s="2" t="s">
        <v>232</v>
      </c>
      <c r="J17" s="2" t="s">
        <v>233</v>
      </c>
      <c r="K17" s="3" t="s">
        <v>234</v>
      </c>
      <c r="L17" s="3" t="s">
        <v>235</v>
      </c>
      <c r="M17" s="3" t="s">
        <v>92</v>
      </c>
    </row>
    <row r="18" customFormat="false" ht="64.15" hidden="false" customHeight="false" outlineLevel="0" collapsed="false">
      <c r="A18" s="3" t="s">
        <v>236</v>
      </c>
      <c r="B18" s="2" t="s">
        <v>126</v>
      </c>
      <c r="C18" s="2" t="s">
        <v>237</v>
      </c>
      <c r="D18" s="3" t="s">
        <v>160</v>
      </c>
      <c r="E18" s="3" t="n">
        <v>4</v>
      </c>
      <c r="F18" s="3" t="n">
        <v>8</v>
      </c>
      <c r="G18" s="2" t="s">
        <v>192</v>
      </c>
      <c r="H18" s="3" t="n">
        <v>4</v>
      </c>
      <c r="I18" s="2" t="s">
        <v>238</v>
      </c>
      <c r="J18" s="2" t="s">
        <v>239</v>
      </c>
      <c r="K18" s="3" t="s">
        <v>201</v>
      </c>
      <c r="L18" s="3" t="s">
        <v>202</v>
      </c>
      <c r="M18" s="3" t="s">
        <v>92</v>
      </c>
    </row>
    <row r="19" customFormat="false" ht="189.55" hidden="false" customHeight="false" outlineLevel="0" collapsed="false">
      <c r="A19" s="3" t="s">
        <v>240</v>
      </c>
      <c r="B19" s="2" t="s">
        <v>113</v>
      </c>
      <c r="C19" s="2" t="s">
        <v>241</v>
      </c>
      <c r="D19" s="3" t="s">
        <v>214</v>
      </c>
      <c r="E19" s="3" t="n">
        <v>12</v>
      </c>
      <c r="F19" s="3" t="n">
        <v>5</v>
      </c>
      <c r="G19" s="2" t="s">
        <v>215</v>
      </c>
      <c r="H19" s="3" t="n">
        <v>7</v>
      </c>
      <c r="I19" s="2" t="s">
        <v>242</v>
      </c>
      <c r="J19" s="2" t="s">
        <v>243</v>
      </c>
      <c r="K19" s="3" t="s">
        <v>244</v>
      </c>
      <c r="L19" s="3" t="s">
        <v>245</v>
      </c>
      <c r="M19" s="3" t="s">
        <v>92</v>
      </c>
    </row>
    <row r="20" customFormat="false" ht="189.55" hidden="false" customHeight="false" outlineLevel="0" collapsed="false">
      <c r="A20" s="3" t="s">
        <v>246</v>
      </c>
      <c r="B20" s="2" t="s">
        <v>107</v>
      </c>
      <c r="C20" s="2" t="s">
        <v>247</v>
      </c>
      <c r="D20" s="3" t="s">
        <v>160</v>
      </c>
      <c r="E20" s="3" t="n">
        <v>12</v>
      </c>
      <c r="F20" s="3" t="n">
        <v>9</v>
      </c>
      <c r="G20" s="2" t="s">
        <v>215</v>
      </c>
      <c r="H20" s="3" t="n">
        <v>6</v>
      </c>
      <c r="I20" s="2" t="s">
        <v>248</v>
      </c>
      <c r="J20" s="2" t="s">
        <v>249</v>
      </c>
      <c r="K20" s="3" t="s">
        <v>250</v>
      </c>
      <c r="L20" s="3" t="s">
        <v>251</v>
      </c>
      <c r="M20" s="3" t="s">
        <v>92</v>
      </c>
    </row>
    <row r="21" customFormat="false" ht="173.85" hidden="false" customHeight="false" outlineLevel="0" collapsed="false">
      <c r="A21" s="3" t="s">
        <v>252</v>
      </c>
      <c r="B21" s="2" t="s">
        <v>119</v>
      </c>
      <c r="C21" s="2" t="s">
        <v>253</v>
      </c>
      <c r="D21" s="3" t="s">
        <v>160</v>
      </c>
      <c r="E21" s="3" t="n">
        <v>11</v>
      </c>
      <c r="F21" s="3" t="n">
        <v>4</v>
      </c>
      <c r="G21" s="2" t="s">
        <v>215</v>
      </c>
      <c r="H21" s="3" t="n">
        <v>6</v>
      </c>
      <c r="I21" s="2" t="s">
        <v>254</v>
      </c>
      <c r="J21" s="2" t="s">
        <v>255</v>
      </c>
      <c r="K21" s="3" t="s">
        <v>256</v>
      </c>
      <c r="L21" s="3" t="s">
        <v>257</v>
      </c>
      <c r="M21" s="3" t="s">
        <v>92</v>
      </c>
    </row>
    <row r="22" customFormat="false" ht="48.5" hidden="false" customHeight="false" outlineLevel="0" collapsed="false">
      <c r="A22" s="3" t="s">
        <v>258</v>
      </c>
      <c r="B22" s="2" t="s">
        <v>107</v>
      </c>
      <c r="C22" s="2" t="s">
        <v>259</v>
      </c>
      <c r="D22" s="3" t="s">
        <v>160</v>
      </c>
      <c r="E22" s="3" t="n">
        <v>3</v>
      </c>
      <c r="F22" s="3" t="n">
        <v>2</v>
      </c>
      <c r="G22" s="2" t="s">
        <v>88</v>
      </c>
      <c r="H22" s="3" t="n">
        <v>3</v>
      </c>
      <c r="I22" s="2" t="s">
        <v>260</v>
      </c>
      <c r="J22" s="2" t="s">
        <v>261</v>
      </c>
      <c r="K22" s="3" t="s">
        <v>262</v>
      </c>
      <c r="L22" s="3" t="s">
        <v>257</v>
      </c>
      <c r="M22" s="3" t="s">
        <v>92</v>
      </c>
    </row>
    <row r="23" customFormat="false" ht="32.8" hidden="false" customHeight="false" outlineLevel="0" collapsed="false">
      <c r="A23" s="3" t="s">
        <v>263</v>
      </c>
      <c r="B23" s="2" t="s">
        <v>107</v>
      </c>
      <c r="C23" s="2" t="s">
        <v>264</v>
      </c>
      <c r="D23" s="3" t="s">
        <v>160</v>
      </c>
      <c r="E23" s="3" t="n">
        <v>2</v>
      </c>
      <c r="F23" s="3" t="n">
        <v>5</v>
      </c>
      <c r="G23" s="2" t="s">
        <v>192</v>
      </c>
      <c r="H23" s="3" t="n">
        <v>4</v>
      </c>
      <c r="I23" s="2" t="s">
        <v>265</v>
      </c>
      <c r="J23" s="2" t="s">
        <v>174</v>
      </c>
      <c r="K23" s="3" t="s">
        <v>266</v>
      </c>
      <c r="L23" s="3" t="s">
        <v>267</v>
      </c>
      <c r="M23" s="3" t="s">
        <v>92</v>
      </c>
    </row>
    <row r="24" customFormat="false" ht="95.5" hidden="false" customHeight="false" outlineLevel="0" collapsed="false">
      <c r="A24" s="3" t="s">
        <v>268</v>
      </c>
      <c r="B24" s="2" t="s">
        <v>135</v>
      </c>
      <c r="C24" s="2" t="s">
        <v>269</v>
      </c>
      <c r="D24" s="3" t="s">
        <v>214</v>
      </c>
      <c r="E24" s="3" t="n">
        <v>6</v>
      </c>
      <c r="F24" s="3" t="n">
        <v>4</v>
      </c>
      <c r="G24" s="2" t="s">
        <v>215</v>
      </c>
      <c r="H24" s="3" t="n">
        <v>7</v>
      </c>
      <c r="I24" s="2" t="s">
        <v>270</v>
      </c>
      <c r="J24" s="2" t="s">
        <v>271</v>
      </c>
      <c r="K24" s="3" t="s">
        <v>272</v>
      </c>
      <c r="L24" s="3" t="s">
        <v>273</v>
      </c>
      <c r="M24" s="3" t="s">
        <v>92</v>
      </c>
    </row>
    <row r="25" customFormat="false" ht="252.2" hidden="false" customHeight="false" outlineLevel="0" collapsed="false">
      <c r="A25" s="3" t="s">
        <v>274</v>
      </c>
      <c r="B25" s="2" t="s">
        <v>135</v>
      </c>
      <c r="C25" s="2" t="s">
        <v>275</v>
      </c>
      <c r="D25" s="3" t="s">
        <v>187</v>
      </c>
      <c r="E25" s="3" t="n">
        <v>16</v>
      </c>
      <c r="F25" s="3" t="n">
        <v>5</v>
      </c>
      <c r="G25" s="2" t="s">
        <v>215</v>
      </c>
      <c r="H25" s="3" t="n">
        <v>6</v>
      </c>
      <c r="I25" s="2" t="s">
        <v>276</v>
      </c>
      <c r="J25" s="2" t="s">
        <v>277</v>
      </c>
      <c r="K25" s="3" t="s">
        <v>278</v>
      </c>
      <c r="L25" s="3" t="s">
        <v>273</v>
      </c>
      <c r="M25" s="3" t="s">
        <v>92</v>
      </c>
    </row>
    <row r="26" customFormat="false" ht="299.25" hidden="false" customHeight="false" outlineLevel="0" collapsed="false">
      <c r="A26" s="3" t="s">
        <v>279</v>
      </c>
      <c r="B26" s="2" t="s">
        <v>135</v>
      </c>
      <c r="C26" s="2" t="s">
        <v>280</v>
      </c>
      <c r="D26" s="3" t="s">
        <v>214</v>
      </c>
      <c r="E26" s="3" t="n">
        <v>19</v>
      </c>
      <c r="F26" s="3" t="n">
        <v>6</v>
      </c>
      <c r="G26" s="2" t="s">
        <v>215</v>
      </c>
      <c r="H26" s="3" t="n">
        <v>7</v>
      </c>
      <c r="I26" s="2" t="s">
        <v>281</v>
      </c>
      <c r="J26" s="2" t="s">
        <v>282</v>
      </c>
      <c r="K26" s="3" t="s">
        <v>283</v>
      </c>
      <c r="L26" s="3" t="s">
        <v>284</v>
      </c>
      <c r="M26" s="3" t="s">
        <v>92</v>
      </c>
    </row>
    <row r="27" customFormat="false" ht="158.2" hidden="false" customHeight="false" outlineLevel="0" collapsed="false">
      <c r="A27" s="3" t="s">
        <v>285</v>
      </c>
      <c r="B27" s="2" t="s">
        <v>135</v>
      </c>
      <c r="C27" s="2" t="s">
        <v>286</v>
      </c>
      <c r="D27" s="3" t="s">
        <v>160</v>
      </c>
      <c r="E27" s="3" t="n">
        <v>10</v>
      </c>
      <c r="F27" s="3" t="n">
        <v>4</v>
      </c>
      <c r="G27" s="2" t="s">
        <v>215</v>
      </c>
      <c r="H27" s="3" t="n">
        <v>6</v>
      </c>
      <c r="I27" s="2" t="s">
        <v>287</v>
      </c>
      <c r="J27" s="2" t="s">
        <v>288</v>
      </c>
      <c r="K27" s="3" t="s">
        <v>289</v>
      </c>
      <c r="L27" s="3" t="s">
        <v>290</v>
      </c>
      <c r="M27" s="3" t="s">
        <v>92</v>
      </c>
    </row>
    <row r="28" customFormat="false" ht="189.55" hidden="false" customHeight="false" outlineLevel="0" collapsed="false">
      <c r="A28" s="3" t="s">
        <v>291</v>
      </c>
      <c r="B28" s="2" t="s">
        <v>98</v>
      </c>
      <c r="C28" s="2" t="s">
        <v>292</v>
      </c>
      <c r="D28" s="3" t="s">
        <v>214</v>
      </c>
      <c r="E28" s="3" t="n">
        <v>12</v>
      </c>
      <c r="F28" s="3" t="n">
        <v>5</v>
      </c>
      <c r="G28" s="2" t="s">
        <v>215</v>
      </c>
      <c r="H28" s="3" t="n">
        <v>7</v>
      </c>
      <c r="I28" s="2" t="s">
        <v>293</v>
      </c>
      <c r="J28" s="2" t="s">
        <v>294</v>
      </c>
      <c r="K28" s="3" t="s">
        <v>234</v>
      </c>
      <c r="L28" s="3" t="s">
        <v>295</v>
      </c>
      <c r="M28" s="3" t="s">
        <v>296</v>
      </c>
    </row>
    <row r="29" customFormat="false" ht="79.85" hidden="false" customHeight="false" outlineLevel="0" collapsed="false">
      <c r="A29" s="3" t="s">
        <v>297</v>
      </c>
      <c r="B29" s="2" t="s">
        <v>140</v>
      </c>
      <c r="C29" s="2" t="s">
        <v>298</v>
      </c>
      <c r="D29" s="3" t="s">
        <v>214</v>
      </c>
      <c r="E29" s="3" t="n">
        <v>5</v>
      </c>
      <c r="F29" s="3" t="n">
        <v>3</v>
      </c>
      <c r="G29" s="2" t="s">
        <v>88</v>
      </c>
      <c r="H29" s="3" t="n">
        <v>4</v>
      </c>
      <c r="I29" s="2" t="s">
        <v>299</v>
      </c>
      <c r="J29" s="2" t="s">
        <v>300</v>
      </c>
      <c r="K29" s="3" t="s">
        <v>301</v>
      </c>
      <c r="L29" s="3" t="s">
        <v>302</v>
      </c>
      <c r="M29" s="3" t="s">
        <v>303</v>
      </c>
    </row>
    <row r="30" customFormat="false" ht="158.2" hidden="false" customHeight="false" outlineLevel="0" collapsed="false">
      <c r="A30" s="3" t="s">
        <v>304</v>
      </c>
      <c r="B30" s="2" t="s">
        <v>140</v>
      </c>
      <c r="C30" s="2" t="s">
        <v>305</v>
      </c>
      <c r="D30" s="3" t="s">
        <v>187</v>
      </c>
      <c r="E30" s="3" t="n">
        <v>10</v>
      </c>
      <c r="F30" s="3" t="n">
        <v>3</v>
      </c>
      <c r="G30" s="2" t="s">
        <v>192</v>
      </c>
      <c r="H30" s="3" t="n">
        <v>4</v>
      </c>
      <c r="I30" s="2" t="s">
        <v>306</v>
      </c>
      <c r="J30" s="2" t="s">
        <v>307</v>
      </c>
      <c r="K30" s="3" t="s">
        <v>301</v>
      </c>
      <c r="L30" s="3" t="s">
        <v>308</v>
      </c>
      <c r="M30" s="3" t="s">
        <v>92</v>
      </c>
    </row>
    <row r="31" customFormat="false" ht="126.85" hidden="false" customHeight="false" outlineLevel="0" collapsed="false">
      <c r="A31" s="3" t="s">
        <v>309</v>
      </c>
      <c r="B31" s="2" t="s">
        <v>140</v>
      </c>
      <c r="C31" s="2" t="s">
        <v>310</v>
      </c>
      <c r="D31" s="3" t="s">
        <v>160</v>
      </c>
      <c r="E31" s="3" t="n">
        <v>8</v>
      </c>
      <c r="F31" s="3" t="n">
        <v>3</v>
      </c>
      <c r="G31" s="2" t="s">
        <v>215</v>
      </c>
      <c r="H31" s="3" t="n">
        <v>6</v>
      </c>
      <c r="I31" s="2" t="s">
        <v>311</v>
      </c>
      <c r="J31" s="2" t="s">
        <v>312</v>
      </c>
      <c r="K31" s="3" t="s">
        <v>301</v>
      </c>
      <c r="L31" s="3" t="s">
        <v>308</v>
      </c>
      <c r="M31" s="3" t="s">
        <v>92</v>
      </c>
    </row>
    <row r="32" customFormat="false" ht="126.85" hidden="false" customHeight="false" outlineLevel="0" collapsed="false">
      <c r="A32" s="3" t="s">
        <v>313</v>
      </c>
      <c r="B32" s="2" t="s">
        <v>140</v>
      </c>
      <c r="C32" s="2" t="s">
        <v>314</v>
      </c>
      <c r="D32" s="3" t="s">
        <v>160</v>
      </c>
      <c r="E32" s="3" t="n">
        <v>8</v>
      </c>
      <c r="F32" s="3" t="n">
        <v>3</v>
      </c>
      <c r="G32" s="2" t="s">
        <v>215</v>
      </c>
      <c r="H32" s="3" t="n">
        <v>6</v>
      </c>
      <c r="I32" s="2" t="s">
        <v>315</v>
      </c>
      <c r="J32" s="2" t="s">
        <v>312</v>
      </c>
      <c r="K32" s="3" t="s">
        <v>301</v>
      </c>
      <c r="L32" s="3" t="s">
        <v>308</v>
      </c>
      <c r="M32" s="3" t="s">
        <v>92</v>
      </c>
    </row>
    <row r="33" customFormat="false" ht="142.5" hidden="false" customHeight="false" outlineLevel="0" collapsed="false">
      <c r="A33" s="3" t="s">
        <v>316</v>
      </c>
      <c r="B33" s="2" t="s">
        <v>140</v>
      </c>
      <c r="C33" s="2" t="s">
        <v>317</v>
      </c>
      <c r="D33" s="3" t="s">
        <v>214</v>
      </c>
      <c r="E33" s="3" t="n">
        <v>9</v>
      </c>
      <c r="F33" s="3" t="n">
        <v>3</v>
      </c>
      <c r="G33" s="2" t="s">
        <v>192</v>
      </c>
      <c r="H33" s="3" t="n">
        <v>5</v>
      </c>
      <c r="I33" s="2" t="s">
        <v>318</v>
      </c>
      <c r="J33" s="2" t="s">
        <v>319</v>
      </c>
      <c r="K33" s="3" t="s">
        <v>301</v>
      </c>
      <c r="L33" s="3" t="s">
        <v>302</v>
      </c>
      <c r="M33" s="3" t="s">
        <v>320</v>
      </c>
    </row>
    <row r="34" customFormat="false" ht="267.9" hidden="false" customHeight="false" outlineLevel="0" collapsed="false">
      <c r="A34" s="3" t="s">
        <v>321</v>
      </c>
      <c r="B34" s="2" t="s">
        <v>119</v>
      </c>
      <c r="C34" s="2" t="s">
        <v>322</v>
      </c>
      <c r="D34" s="3" t="s">
        <v>160</v>
      </c>
      <c r="E34" s="3" t="n">
        <v>17</v>
      </c>
      <c r="F34" s="3" t="n">
        <v>5</v>
      </c>
      <c r="G34" s="2" t="s">
        <v>215</v>
      </c>
      <c r="H34" s="3" t="n">
        <v>6</v>
      </c>
      <c r="I34" s="2" t="s">
        <v>323</v>
      </c>
      <c r="J34" s="2" t="s">
        <v>324</v>
      </c>
      <c r="K34" s="3" t="s">
        <v>325</v>
      </c>
      <c r="L34" s="3" t="s">
        <v>326</v>
      </c>
      <c r="M34" s="3" t="s">
        <v>92</v>
      </c>
    </row>
    <row r="35" customFormat="false" ht="283.55" hidden="false" customHeight="false" outlineLevel="0" collapsed="false">
      <c r="A35" s="3" t="s">
        <v>327</v>
      </c>
      <c r="B35" s="2" t="s">
        <v>119</v>
      </c>
      <c r="C35" s="2" t="s">
        <v>328</v>
      </c>
      <c r="D35" s="3" t="s">
        <v>214</v>
      </c>
      <c r="E35" s="3" t="n">
        <v>18</v>
      </c>
      <c r="F35" s="3" t="n">
        <v>5</v>
      </c>
      <c r="G35" s="2" t="s">
        <v>215</v>
      </c>
      <c r="H35" s="3" t="n">
        <v>7</v>
      </c>
      <c r="I35" s="2" t="s">
        <v>329</v>
      </c>
      <c r="J35" s="2" t="s">
        <v>330</v>
      </c>
      <c r="K35" s="3" t="s">
        <v>325</v>
      </c>
      <c r="L35" s="3" t="s">
        <v>331</v>
      </c>
      <c r="M35" s="3" t="s">
        <v>92</v>
      </c>
    </row>
    <row r="36" customFormat="false" ht="111.15" hidden="false" customHeight="false" outlineLevel="0" collapsed="false">
      <c r="A36" s="3" t="s">
        <v>332</v>
      </c>
      <c r="B36" s="2" t="s">
        <v>119</v>
      </c>
      <c r="C36" s="2" t="s">
        <v>333</v>
      </c>
      <c r="D36" s="3" t="s">
        <v>214</v>
      </c>
      <c r="E36" s="3" t="n">
        <v>7</v>
      </c>
      <c r="F36" s="3" t="n">
        <v>3</v>
      </c>
      <c r="G36" s="2" t="s">
        <v>192</v>
      </c>
      <c r="H36" s="3" t="n">
        <v>5</v>
      </c>
      <c r="I36" s="2" t="s">
        <v>334</v>
      </c>
      <c r="J36" s="2" t="s">
        <v>335</v>
      </c>
      <c r="K36" s="3" t="s">
        <v>336</v>
      </c>
      <c r="L36" s="3" t="s">
        <v>337</v>
      </c>
      <c r="M36" s="3" t="s">
        <v>338</v>
      </c>
    </row>
    <row r="37" customFormat="false" ht="95.5" hidden="false" customHeight="false" outlineLevel="0" collapsed="false">
      <c r="A37" s="3" t="s">
        <v>339</v>
      </c>
      <c r="B37" s="2" t="s">
        <v>119</v>
      </c>
      <c r="C37" s="2" t="s">
        <v>340</v>
      </c>
      <c r="D37" s="3" t="s">
        <v>160</v>
      </c>
      <c r="E37" s="3" t="n">
        <v>6</v>
      </c>
      <c r="F37" s="3" t="n">
        <v>3</v>
      </c>
      <c r="G37" s="2" t="s">
        <v>215</v>
      </c>
      <c r="H37" s="3" t="n">
        <v>6</v>
      </c>
      <c r="I37" s="2" t="s">
        <v>341</v>
      </c>
      <c r="J37" s="2" t="s">
        <v>342</v>
      </c>
      <c r="K37" s="3" t="s">
        <v>336</v>
      </c>
      <c r="L37" s="3" t="s">
        <v>343</v>
      </c>
      <c r="M37" s="3" t="s">
        <v>92</v>
      </c>
    </row>
    <row r="38" customFormat="false" ht="64.15" hidden="false" customHeight="false" outlineLevel="0" collapsed="false">
      <c r="A38" s="3" t="s">
        <v>344</v>
      </c>
      <c r="B38" s="2" t="s">
        <v>119</v>
      </c>
      <c r="C38" s="2" t="s">
        <v>345</v>
      </c>
      <c r="D38" s="3" t="s">
        <v>160</v>
      </c>
      <c r="E38" s="3" t="n">
        <v>4</v>
      </c>
      <c r="F38" s="3" t="n">
        <v>5</v>
      </c>
      <c r="G38" s="2" t="s">
        <v>192</v>
      </c>
      <c r="H38" s="3" t="n">
        <v>4</v>
      </c>
      <c r="I38" s="2" t="s">
        <v>346</v>
      </c>
      <c r="J38" s="2" t="s">
        <v>347</v>
      </c>
      <c r="K38" s="3" t="s">
        <v>325</v>
      </c>
      <c r="L38" s="3" t="s">
        <v>348</v>
      </c>
      <c r="M38" s="3" t="s">
        <v>92</v>
      </c>
    </row>
  </sheetData>
  <printOptions headings="false" gridLines="false" gridLinesSet="true" horizontalCentered="true" verticalCentered="false"/>
  <pageMargins left="0.25" right="0.25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50"/>
    <col collapsed="false" customWidth="true" hidden="false" outlineLevel="0" max="4" min="4" style="0" width="30"/>
    <col collapsed="false" customWidth="true" hidden="false" outlineLevel="0" max="5" min="5" style="0" width="62"/>
    <col collapsed="false" customWidth="true" hidden="false" outlineLevel="0" max="6" min="6" style="0" width="72"/>
    <col collapsed="false" customWidth="true" hidden="false" outlineLevel="0" max="7" min="7" style="0" width="42"/>
    <col collapsed="false" customWidth="true" hidden="false" outlineLevel="0" max="8" min="8" style="0" width="10"/>
    <col collapsed="false" customWidth="true" hidden="false" outlineLevel="0" max="9" min="9" style="0" width="56"/>
  </cols>
  <sheetData>
    <row r="1" customFormat="false" ht="30" hidden="false" customHeight="true" outlineLevel="0" collapsed="false">
      <c r="A1" s="1" t="s">
        <v>3</v>
      </c>
      <c r="B1" s="1" t="s">
        <v>349</v>
      </c>
      <c r="C1" s="1" t="s">
        <v>350</v>
      </c>
      <c r="D1" s="1" t="s">
        <v>351</v>
      </c>
      <c r="E1" s="1" t="s">
        <v>352</v>
      </c>
      <c r="F1" s="1" t="s">
        <v>353</v>
      </c>
      <c r="G1" s="1" t="s">
        <v>354</v>
      </c>
      <c r="H1" s="1" t="s">
        <v>355</v>
      </c>
      <c r="I1" s="1" t="s">
        <v>356</v>
      </c>
    </row>
    <row r="2" customFormat="false" ht="32.8" hidden="false" customHeight="false" outlineLevel="0" collapsed="false">
      <c r="A2" s="3" t="s">
        <v>27</v>
      </c>
      <c r="B2" s="2" t="s">
        <v>357</v>
      </c>
      <c r="C2" s="2" t="s">
        <v>358</v>
      </c>
      <c r="D2" s="3" t="s">
        <v>359</v>
      </c>
      <c r="E2" s="2" t="s">
        <v>360</v>
      </c>
      <c r="F2" s="2" t="s">
        <v>361</v>
      </c>
      <c r="G2" s="2" t="s">
        <v>362</v>
      </c>
      <c r="H2" s="2" t="s">
        <v>363</v>
      </c>
      <c r="I2" s="3"/>
    </row>
    <row r="3" customFormat="false" ht="32.8" hidden="false" customHeight="false" outlineLevel="0" collapsed="false">
      <c r="A3" s="3" t="s">
        <v>15</v>
      </c>
      <c r="B3" s="2" t="s">
        <v>364</v>
      </c>
      <c r="C3" s="2" t="s">
        <v>365</v>
      </c>
      <c r="D3" s="3" t="s">
        <v>13</v>
      </c>
      <c r="E3" s="3" t="s">
        <v>366</v>
      </c>
      <c r="F3" s="2" t="s">
        <v>367</v>
      </c>
      <c r="G3" s="2" t="s">
        <v>368</v>
      </c>
      <c r="H3" s="2" t="s">
        <v>363</v>
      </c>
      <c r="I3" s="3"/>
    </row>
    <row r="4" customFormat="false" ht="32.8" hidden="false" customHeight="false" outlineLevel="0" collapsed="false">
      <c r="A4" s="3" t="s">
        <v>19</v>
      </c>
      <c r="B4" s="2" t="s">
        <v>364</v>
      </c>
      <c r="C4" s="2" t="s">
        <v>369</v>
      </c>
      <c r="D4" s="3" t="s">
        <v>17</v>
      </c>
      <c r="E4" s="3" t="s">
        <v>370</v>
      </c>
      <c r="F4" s="2" t="s">
        <v>371</v>
      </c>
      <c r="G4" s="2" t="s">
        <v>372</v>
      </c>
      <c r="H4" s="2" t="s">
        <v>363</v>
      </c>
      <c r="I4" s="3"/>
    </row>
    <row r="5" customFormat="false" ht="44" hidden="false" customHeight="false" outlineLevel="0" collapsed="false">
      <c r="A5" s="3" t="s">
        <v>373</v>
      </c>
      <c r="B5" s="2" t="s">
        <v>374</v>
      </c>
      <c r="C5" s="3" t="s">
        <v>375</v>
      </c>
      <c r="D5" s="2" t="s">
        <v>376</v>
      </c>
      <c r="E5" s="2" t="s">
        <v>377</v>
      </c>
      <c r="F5" s="2" t="s">
        <v>378</v>
      </c>
      <c r="G5" s="3" t="s">
        <v>379</v>
      </c>
      <c r="H5" s="2" t="s">
        <v>363</v>
      </c>
      <c r="I5" s="3"/>
    </row>
    <row r="6" customFormat="false" ht="44" hidden="false" customHeight="false" outlineLevel="0" collapsed="false">
      <c r="A6" s="3" t="s">
        <v>380</v>
      </c>
      <c r="B6" s="2" t="s">
        <v>364</v>
      </c>
      <c r="C6" s="3" t="s">
        <v>381</v>
      </c>
      <c r="D6" s="2" t="s">
        <v>376</v>
      </c>
      <c r="E6" s="3" t="s">
        <v>382</v>
      </c>
      <c r="F6" s="3" t="s">
        <v>383</v>
      </c>
      <c r="G6" s="3" t="s">
        <v>384</v>
      </c>
      <c r="H6" s="2" t="s">
        <v>363</v>
      </c>
      <c r="I6" s="3"/>
    </row>
    <row r="7" customFormat="false" ht="73.1" hidden="false" customHeight="false" outlineLevel="0" collapsed="false">
      <c r="A7" s="3" t="s">
        <v>385</v>
      </c>
      <c r="B7" s="2" t="s">
        <v>364</v>
      </c>
      <c r="C7" s="3" t="s">
        <v>386</v>
      </c>
      <c r="D7" s="2" t="s">
        <v>387</v>
      </c>
      <c r="E7" s="3" t="s">
        <v>388</v>
      </c>
      <c r="F7" s="2" t="s">
        <v>389</v>
      </c>
      <c r="G7" s="3" t="s">
        <v>390</v>
      </c>
      <c r="H7" s="2" t="s">
        <v>363</v>
      </c>
      <c r="I7" s="3"/>
    </row>
    <row r="8" customFormat="false" ht="44" hidden="false" customHeight="false" outlineLevel="0" collapsed="false">
      <c r="A8" s="3" t="s">
        <v>391</v>
      </c>
      <c r="B8" s="2" t="s">
        <v>364</v>
      </c>
      <c r="C8" s="3" t="s">
        <v>392</v>
      </c>
      <c r="D8" s="2" t="s">
        <v>376</v>
      </c>
      <c r="E8" s="3" t="s">
        <v>393</v>
      </c>
      <c r="F8" s="2" t="s">
        <v>394</v>
      </c>
      <c r="G8" s="3" t="s">
        <v>395</v>
      </c>
      <c r="H8" s="2" t="s">
        <v>363</v>
      </c>
      <c r="I8" s="3"/>
    </row>
    <row r="9" customFormat="false" ht="46.25" hidden="false" customHeight="false" outlineLevel="0" collapsed="false">
      <c r="A9" s="3" t="s">
        <v>396</v>
      </c>
      <c r="B9" s="2" t="s">
        <v>364</v>
      </c>
      <c r="C9" s="3" t="s">
        <v>397</v>
      </c>
      <c r="D9" s="2" t="s">
        <v>376</v>
      </c>
      <c r="E9" s="3" t="s">
        <v>398</v>
      </c>
      <c r="F9" s="2" t="s">
        <v>399</v>
      </c>
      <c r="G9" s="3" t="s">
        <v>395</v>
      </c>
      <c r="H9" s="2" t="s">
        <v>363</v>
      </c>
      <c r="I9" s="3"/>
    </row>
    <row r="10" customFormat="false" ht="46.25" hidden="false" customHeight="false" outlineLevel="0" collapsed="false">
      <c r="A10" s="3" t="s">
        <v>400</v>
      </c>
      <c r="B10" s="2" t="s">
        <v>364</v>
      </c>
      <c r="C10" s="3" t="s">
        <v>401</v>
      </c>
      <c r="D10" s="2" t="s">
        <v>376</v>
      </c>
      <c r="E10" s="3" t="s">
        <v>402</v>
      </c>
      <c r="F10" s="2" t="s">
        <v>403</v>
      </c>
      <c r="G10" s="3" t="s">
        <v>404</v>
      </c>
      <c r="H10" s="2" t="s">
        <v>363</v>
      </c>
      <c r="I10" s="3"/>
    </row>
    <row r="11" customFormat="false" ht="44" hidden="false" customHeight="false" outlineLevel="0" collapsed="false">
      <c r="A11" s="3" t="s">
        <v>405</v>
      </c>
      <c r="B11" s="2" t="s">
        <v>364</v>
      </c>
      <c r="C11" s="3" t="s">
        <v>406</v>
      </c>
      <c r="D11" s="2" t="s">
        <v>376</v>
      </c>
      <c r="E11" s="3" t="s">
        <v>407</v>
      </c>
      <c r="F11" s="2" t="s">
        <v>408</v>
      </c>
      <c r="G11" s="3" t="s">
        <v>409</v>
      </c>
      <c r="H11" s="2" t="s">
        <v>363</v>
      </c>
      <c r="I11" s="3"/>
    </row>
    <row r="12" customFormat="false" ht="44" hidden="false" customHeight="false" outlineLevel="0" collapsed="false">
      <c r="A12" s="3" t="s">
        <v>410</v>
      </c>
      <c r="B12" s="2" t="s">
        <v>364</v>
      </c>
      <c r="C12" s="3" t="s">
        <v>411</v>
      </c>
      <c r="D12" s="2" t="s">
        <v>376</v>
      </c>
      <c r="E12" s="3" t="s">
        <v>412</v>
      </c>
      <c r="F12" s="2" t="s">
        <v>413</v>
      </c>
      <c r="G12" s="3" t="s">
        <v>414</v>
      </c>
      <c r="H12" s="2" t="s">
        <v>363</v>
      </c>
      <c r="I12" s="3"/>
    </row>
    <row r="13" customFormat="false" ht="46.25" hidden="false" customHeight="false" outlineLevel="0" collapsed="false">
      <c r="A13" s="3" t="s">
        <v>415</v>
      </c>
      <c r="B13" s="2" t="s">
        <v>364</v>
      </c>
      <c r="C13" s="3" t="s">
        <v>416</v>
      </c>
      <c r="D13" s="2" t="s">
        <v>376</v>
      </c>
      <c r="E13" s="3" t="s">
        <v>417</v>
      </c>
      <c r="F13" s="2" t="s">
        <v>418</v>
      </c>
      <c r="G13" s="3" t="s">
        <v>419</v>
      </c>
      <c r="H13" s="2" t="s">
        <v>363</v>
      </c>
      <c r="I13" s="3"/>
    </row>
    <row r="14" customFormat="false" ht="73.1" hidden="false" customHeight="false" outlineLevel="0" collapsed="false">
      <c r="A14" s="3" t="s">
        <v>420</v>
      </c>
      <c r="B14" s="2" t="s">
        <v>364</v>
      </c>
      <c r="C14" s="3" t="s">
        <v>421</v>
      </c>
      <c r="D14" s="2" t="s">
        <v>387</v>
      </c>
      <c r="E14" s="3" t="s">
        <v>422</v>
      </c>
      <c r="F14" s="2" t="s">
        <v>423</v>
      </c>
      <c r="G14" s="3" t="s">
        <v>424</v>
      </c>
      <c r="H14" s="2" t="s">
        <v>363</v>
      </c>
      <c r="I14" s="3"/>
    </row>
    <row r="15" customFormat="false" ht="46.25" hidden="false" customHeight="false" outlineLevel="0" collapsed="false">
      <c r="A15" s="3" t="s">
        <v>425</v>
      </c>
      <c r="B15" s="2" t="s">
        <v>364</v>
      </c>
      <c r="C15" s="3" t="s">
        <v>426</v>
      </c>
      <c r="D15" s="2" t="s">
        <v>376</v>
      </c>
      <c r="E15" s="3" t="s">
        <v>427</v>
      </c>
      <c r="F15" s="2" t="s">
        <v>428</v>
      </c>
      <c r="G15" s="3" t="s">
        <v>344</v>
      </c>
      <c r="H15" s="2" t="s">
        <v>363</v>
      </c>
      <c r="I15" s="3"/>
    </row>
    <row r="16" customFormat="false" ht="46.25" hidden="false" customHeight="false" outlineLevel="0" collapsed="false">
      <c r="A16" s="3" t="s">
        <v>429</v>
      </c>
      <c r="B16" s="2" t="s">
        <v>364</v>
      </c>
      <c r="C16" s="3" t="s">
        <v>430</v>
      </c>
      <c r="D16" s="2" t="s">
        <v>376</v>
      </c>
      <c r="E16" s="3" t="s">
        <v>431</v>
      </c>
      <c r="F16" s="2" t="s">
        <v>432</v>
      </c>
      <c r="G16" s="3" t="s">
        <v>433</v>
      </c>
      <c r="H16" s="2" t="s">
        <v>363</v>
      </c>
      <c r="I16" s="3"/>
    </row>
    <row r="17" customFormat="false" ht="44" hidden="false" customHeight="false" outlineLevel="0" collapsed="false">
      <c r="A17" s="3" t="s">
        <v>434</v>
      </c>
      <c r="B17" s="2" t="s">
        <v>364</v>
      </c>
      <c r="C17" s="3" t="s">
        <v>435</v>
      </c>
      <c r="D17" s="2" t="s">
        <v>376</v>
      </c>
      <c r="E17" s="3" t="s">
        <v>436</v>
      </c>
      <c r="F17" s="2" t="s">
        <v>437</v>
      </c>
      <c r="G17" s="3" t="s">
        <v>438</v>
      </c>
      <c r="H17" s="2" t="s">
        <v>363</v>
      </c>
      <c r="I17" s="3"/>
    </row>
    <row r="18" customFormat="false" ht="32.8" hidden="false" customHeight="false" outlineLevel="0" collapsed="false">
      <c r="A18" s="3" t="s">
        <v>439</v>
      </c>
      <c r="B18" s="2" t="s">
        <v>364</v>
      </c>
      <c r="C18" s="3" t="s">
        <v>440</v>
      </c>
      <c r="D18" s="3" t="s">
        <v>17</v>
      </c>
      <c r="E18" s="3" t="s">
        <v>441</v>
      </c>
      <c r="F18" s="2" t="s">
        <v>442</v>
      </c>
      <c r="G18" s="2" t="s">
        <v>443</v>
      </c>
      <c r="H18" s="2" t="s">
        <v>363</v>
      </c>
      <c r="I18" s="3"/>
    </row>
    <row r="19" customFormat="false" ht="79.85" hidden="false" customHeight="false" outlineLevel="0" collapsed="false">
      <c r="A19" s="3" t="s">
        <v>444</v>
      </c>
      <c r="B19" s="2" t="s">
        <v>364</v>
      </c>
      <c r="C19" s="3" t="s">
        <v>445</v>
      </c>
      <c r="D19" s="3" t="s">
        <v>17</v>
      </c>
      <c r="E19" s="3" t="s">
        <v>446</v>
      </c>
      <c r="F19" s="2" t="s">
        <v>447</v>
      </c>
      <c r="G19" s="3" t="s">
        <v>448</v>
      </c>
      <c r="H19" s="2" t="s">
        <v>363</v>
      </c>
      <c r="I19" s="3"/>
    </row>
    <row r="20" customFormat="false" ht="75.35" hidden="false" customHeight="false" outlineLevel="0" collapsed="false">
      <c r="A20" s="3" t="s">
        <v>59</v>
      </c>
      <c r="B20" s="2" t="s">
        <v>449</v>
      </c>
      <c r="C20" s="2" t="s">
        <v>450</v>
      </c>
      <c r="D20" s="2" t="s">
        <v>451</v>
      </c>
      <c r="E20" s="2" t="s">
        <v>452</v>
      </c>
      <c r="F20" s="2" t="s">
        <v>453</v>
      </c>
      <c r="G20" s="2" t="s">
        <v>454</v>
      </c>
      <c r="H20" s="2" t="s">
        <v>363</v>
      </c>
      <c r="I20" s="3"/>
    </row>
    <row r="21" customFormat="false" ht="44" hidden="false" customHeight="false" outlineLevel="0" collapsed="false">
      <c r="A21" s="3" t="s">
        <v>455</v>
      </c>
      <c r="B21" s="2" t="s">
        <v>374</v>
      </c>
      <c r="C21" s="3" t="s">
        <v>456</v>
      </c>
      <c r="D21" s="2" t="s">
        <v>376</v>
      </c>
      <c r="E21" s="3" t="s">
        <v>457</v>
      </c>
      <c r="F21" s="2" t="s">
        <v>458</v>
      </c>
      <c r="G21" s="3" t="s">
        <v>459</v>
      </c>
      <c r="H21" s="2" t="s">
        <v>363</v>
      </c>
      <c r="I21" s="3"/>
    </row>
    <row r="22" customFormat="false" ht="44" hidden="false" customHeight="false" outlineLevel="0" collapsed="false">
      <c r="A22" s="3" t="s">
        <v>460</v>
      </c>
      <c r="B22" s="2" t="s">
        <v>374</v>
      </c>
      <c r="C22" s="3" t="s">
        <v>461</v>
      </c>
      <c r="D22" s="2" t="s">
        <v>376</v>
      </c>
      <c r="E22" s="2" t="s">
        <v>462</v>
      </c>
      <c r="F22" s="2" t="s">
        <v>463</v>
      </c>
      <c r="G22" s="3" t="s">
        <v>464</v>
      </c>
      <c r="H22" s="2" t="s">
        <v>363</v>
      </c>
      <c r="I22" s="3"/>
    </row>
    <row r="23" customFormat="false" ht="48.5" hidden="false" customHeight="false" outlineLevel="0" collapsed="false">
      <c r="A23" s="3" t="s">
        <v>465</v>
      </c>
      <c r="B23" s="2" t="s">
        <v>466</v>
      </c>
      <c r="C23" s="2" t="s">
        <v>466</v>
      </c>
      <c r="D23" s="3" t="s">
        <v>359</v>
      </c>
      <c r="E23" s="2" t="s">
        <v>467</v>
      </c>
      <c r="F23" s="2" t="s">
        <v>468</v>
      </c>
      <c r="G23" s="3" t="s">
        <v>469</v>
      </c>
      <c r="H23" s="2" t="s">
        <v>363</v>
      </c>
      <c r="I23" s="3"/>
    </row>
    <row r="24" customFormat="false" ht="73.1" hidden="false" customHeight="false" outlineLevel="0" collapsed="false">
      <c r="A24" s="3" t="s">
        <v>470</v>
      </c>
      <c r="B24" s="2" t="s">
        <v>364</v>
      </c>
      <c r="C24" s="3" t="s">
        <v>471</v>
      </c>
      <c r="D24" s="2" t="s">
        <v>387</v>
      </c>
      <c r="E24" s="3" t="s">
        <v>472</v>
      </c>
      <c r="F24" s="2" t="s">
        <v>473</v>
      </c>
      <c r="G24" s="2" t="s">
        <v>474</v>
      </c>
      <c r="H24" s="2" t="s">
        <v>475</v>
      </c>
      <c r="I24" s="3" t="s">
        <v>476</v>
      </c>
    </row>
    <row r="25" customFormat="false" ht="73.1" hidden="false" customHeight="false" outlineLevel="0" collapsed="false">
      <c r="A25" s="3" t="s">
        <v>477</v>
      </c>
      <c r="B25" s="2" t="s">
        <v>364</v>
      </c>
      <c r="C25" s="3" t="s">
        <v>478</v>
      </c>
      <c r="D25" s="2" t="s">
        <v>387</v>
      </c>
      <c r="E25" s="3" t="s">
        <v>479</v>
      </c>
      <c r="F25" s="2" t="s">
        <v>480</v>
      </c>
      <c r="G25" s="2" t="s">
        <v>481</v>
      </c>
      <c r="H25" s="2" t="s">
        <v>475</v>
      </c>
      <c r="I25" s="3" t="s">
        <v>482</v>
      </c>
    </row>
    <row r="26" customFormat="false" ht="46.25" hidden="false" customHeight="false" outlineLevel="0" collapsed="false">
      <c r="A26" s="3" t="s">
        <v>483</v>
      </c>
      <c r="B26" s="2" t="s">
        <v>364</v>
      </c>
      <c r="C26" s="3" t="s">
        <v>416</v>
      </c>
      <c r="D26" s="2" t="s">
        <v>376</v>
      </c>
      <c r="E26" s="3" t="s">
        <v>484</v>
      </c>
      <c r="F26" s="2" t="s">
        <v>485</v>
      </c>
      <c r="G26" s="2" t="s">
        <v>486</v>
      </c>
      <c r="H26" s="2" t="s">
        <v>475</v>
      </c>
      <c r="I26" s="3" t="s">
        <v>487</v>
      </c>
    </row>
    <row r="27" customFormat="false" ht="73.1" hidden="false" customHeight="false" outlineLevel="0" collapsed="false">
      <c r="A27" s="3" t="s">
        <v>488</v>
      </c>
      <c r="B27" s="2" t="s">
        <v>364</v>
      </c>
      <c r="C27" s="3" t="s">
        <v>489</v>
      </c>
      <c r="D27" s="2" t="s">
        <v>387</v>
      </c>
      <c r="E27" s="3" t="s">
        <v>490</v>
      </c>
      <c r="F27" s="2" t="s">
        <v>491</v>
      </c>
      <c r="G27" s="2" t="s">
        <v>492</v>
      </c>
      <c r="H27" s="2" t="s">
        <v>475</v>
      </c>
      <c r="I27" s="2" t="s">
        <v>493</v>
      </c>
    </row>
    <row r="28" customFormat="false" ht="44" hidden="false" customHeight="false" outlineLevel="0" collapsed="false">
      <c r="A28" s="3" t="s">
        <v>494</v>
      </c>
      <c r="B28" s="2" t="s">
        <v>364</v>
      </c>
      <c r="C28" s="3" t="s">
        <v>495</v>
      </c>
      <c r="D28" s="2" t="s">
        <v>376</v>
      </c>
      <c r="E28" s="3" t="s">
        <v>496</v>
      </c>
      <c r="F28" s="2" t="s">
        <v>497</v>
      </c>
      <c r="G28" s="2" t="s">
        <v>498</v>
      </c>
      <c r="H28" s="2" t="s">
        <v>475</v>
      </c>
      <c r="I28" s="2" t="s">
        <v>499</v>
      </c>
    </row>
  </sheetData>
  <printOptions headings="false" gridLines="false" gridLinesSet="true" horizontalCentered="true" verticalCentered="false"/>
  <pageMargins left="0.25" right="0.25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2026-10-21T02:22:10Z</dcterms:created>
  <dc:creator>openpyxl</dc:creator>
  <dc:description/>
  <dc:language>en-US</dc:language>
  <cp:lastModifiedBy/>
  <dcterms:modified xsi:type="dcterms:W3CDTF">2026-10-21T02:22:10Z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